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e\Desktop\send.to.goi_231114\"/>
    </mc:Choice>
  </mc:AlternateContent>
  <bookViews>
    <workbookView xWindow="0" yWindow="0" windowWidth="28785" windowHeight="4950"/>
  </bookViews>
  <sheets>
    <sheet name="Precision" sheetId="4" r:id="rId1"/>
    <sheet name="Linearity" sheetId="5" r:id="rId2"/>
    <sheet name="Effect" sheetId="6" r:id="rId3"/>
    <sheet name="Sensitivity" sheetId="9" r:id="rId4"/>
    <sheet name="Healthy women" sheetId="12" r:id="rId5"/>
    <sheet name="Patients" sheetId="3" r:id="rId6"/>
    <sheet name="ROC" sheetId="14" r:id="rId7"/>
  </sheets>
  <definedNames>
    <definedName name="_xlnm._FilterDatabase" localSheetId="4" hidden="1">'Healthy women'!$A$1:$I$151</definedName>
    <definedName name="_xlnm._FilterDatabase" localSheetId="5" hidden="1">Patients!$A$1:$U$26</definedName>
    <definedName name="_xlnm._FilterDatabase" localSheetId="6" hidden="1">ROC!$A$1:$B$26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D28" i="3"/>
  <c r="B28" i="3"/>
  <c r="C27" i="3"/>
  <c r="D27" i="3"/>
  <c r="B27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3" i="3"/>
  <c r="L41" i="9"/>
  <c r="L40" i="9"/>
  <c r="I25" i="9"/>
  <c r="I26" i="9" s="1"/>
  <c r="H25" i="9"/>
  <c r="H26" i="9" s="1"/>
  <c r="G25" i="9"/>
  <c r="G26" i="9" s="1"/>
  <c r="F25" i="9"/>
  <c r="F26" i="9" s="1"/>
  <c r="E25" i="9"/>
  <c r="E26" i="9" s="1"/>
  <c r="D25" i="9"/>
  <c r="D26" i="9" s="1"/>
  <c r="C25" i="9"/>
  <c r="C26" i="9" s="1"/>
  <c r="I24" i="9"/>
  <c r="H24" i="9"/>
  <c r="G24" i="9"/>
  <c r="F24" i="9"/>
  <c r="E24" i="9"/>
  <c r="D24" i="9"/>
  <c r="C24" i="9"/>
  <c r="E27" i="3" l="1"/>
  <c r="E28" i="3"/>
</calcChain>
</file>

<file path=xl/sharedStrings.xml><?xml version="1.0" encoding="utf-8"?>
<sst xmlns="http://schemas.openxmlformats.org/spreadsheetml/2006/main" count="196" uniqueCount="121">
  <si>
    <t>Sample</t>
    <phoneticPr fontId="1"/>
  </si>
  <si>
    <t>menopausal status</t>
  </si>
  <si>
    <t>0:pre menopausal</t>
    <phoneticPr fontId="1"/>
  </si>
  <si>
    <t>1:post menopausal</t>
    <phoneticPr fontId="1"/>
  </si>
  <si>
    <t>HE4</t>
    <phoneticPr fontId="1"/>
  </si>
  <si>
    <t>CA125</t>
    <phoneticPr fontId="1"/>
  </si>
  <si>
    <t>tumor</t>
    <phoneticPr fontId="1"/>
  </si>
  <si>
    <t>0:malignat</t>
    <phoneticPr fontId="1"/>
  </si>
  <si>
    <t>1:benign</t>
    <phoneticPr fontId="1"/>
  </si>
  <si>
    <t>POST ROMA</t>
    <phoneticPr fontId="1"/>
  </si>
  <si>
    <t>PRE ROMA</t>
    <phoneticPr fontId="1"/>
  </si>
  <si>
    <t>Low</t>
    <phoneticPr fontId="1"/>
  </si>
  <si>
    <t>Middle</t>
    <phoneticPr fontId="1"/>
  </si>
  <si>
    <t>High</t>
    <phoneticPr fontId="1"/>
  </si>
  <si>
    <t>day1</t>
    <phoneticPr fontId="1"/>
  </si>
  <si>
    <t>day2</t>
    <phoneticPr fontId="1"/>
  </si>
  <si>
    <t>day3</t>
  </si>
  <si>
    <t>day4</t>
  </si>
  <si>
    <t>day5</t>
  </si>
  <si>
    <t>0/10</t>
    <phoneticPr fontId="1"/>
  </si>
  <si>
    <t>1/10</t>
    <phoneticPr fontId="1"/>
  </si>
  <si>
    <t>2/10</t>
    <phoneticPr fontId="1"/>
  </si>
  <si>
    <t>3/10</t>
    <phoneticPr fontId="1"/>
  </si>
  <si>
    <t>4/10</t>
    <phoneticPr fontId="1"/>
  </si>
  <si>
    <t>5/10</t>
    <phoneticPr fontId="1"/>
  </si>
  <si>
    <t>6/10</t>
    <phoneticPr fontId="1"/>
  </si>
  <si>
    <t>7/10</t>
    <phoneticPr fontId="1"/>
  </si>
  <si>
    <t>8/10</t>
    <phoneticPr fontId="1"/>
  </si>
  <si>
    <t>9/10</t>
    <phoneticPr fontId="1"/>
  </si>
  <si>
    <t>10/10</t>
    <phoneticPr fontId="1"/>
  </si>
  <si>
    <t>Dilution linearity</t>
    <phoneticPr fontId="1"/>
  </si>
  <si>
    <t>Between-day precision</t>
    <phoneticPr fontId="1"/>
  </si>
  <si>
    <t>Dilution rate</t>
    <phoneticPr fontId="1"/>
  </si>
  <si>
    <t>(mg/dL)</t>
  </si>
  <si>
    <t>(FTU)</t>
  </si>
  <si>
    <t xml:space="preserve">Free bilirubin </t>
  </si>
  <si>
    <t xml:space="preserve">Conjugated bilirubin </t>
  </si>
  <si>
    <t>Hemoglobin</t>
  </si>
  <si>
    <t>Chyle</t>
  </si>
  <si>
    <t>added concentration</t>
  </si>
  <si>
    <t>Measurements</t>
  </si>
  <si>
    <t>Measurements</t>
    <phoneticPr fontId="3"/>
  </si>
  <si>
    <t>vs Control</t>
    <phoneticPr fontId="1"/>
  </si>
  <si>
    <t>(%)</t>
    <phoneticPr fontId="1"/>
  </si>
  <si>
    <t>(pmol/L)</t>
    <phoneticPr fontId="1"/>
  </si>
  <si>
    <t>※vs Control：Percentage of the value in comparison with 0 added concentrations</t>
    <phoneticPr fontId="1"/>
  </si>
  <si>
    <t>Sample</t>
    <phoneticPr fontId="8"/>
  </si>
  <si>
    <t>L1</t>
    <phoneticPr fontId="8"/>
  </si>
  <si>
    <t>L2</t>
    <phoneticPr fontId="8"/>
  </si>
  <si>
    <t>L3</t>
    <phoneticPr fontId="8"/>
  </si>
  <si>
    <t>L4</t>
    <phoneticPr fontId="8"/>
  </si>
  <si>
    <t>L5</t>
    <phoneticPr fontId="8"/>
  </si>
  <si>
    <t>L6</t>
    <phoneticPr fontId="8"/>
  </si>
  <si>
    <t xml:space="preserve"> </t>
    <phoneticPr fontId="8"/>
  </si>
  <si>
    <t>Mean</t>
    <phoneticPr fontId="8"/>
  </si>
  <si>
    <t>SD</t>
    <phoneticPr fontId="8"/>
  </si>
  <si>
    <t>CV(%)</t>
    <phoneticPr fontId="8"/>
  </si>
  <si>
    <r>
      <t>y=ae</t>
    </r>
    <r>
      <rPr>
        <vertAlign val="superscript"/>
        <sz val="11"/>
        <color theme="1"/>
        <rFont val="Arial"/>
        <family val="2"/>
      </rPr>
      <t>bx</t>
    </r>
    <phoneticPr fontId="8"/>
  </si>
  <si>
    <t>a</t>
    <phoneticPr fontId="8"/>
  </si>
  <si>
    <t>b</t>
    <phoneticPr fontId="8"/>
  </si>
  <si>
    <t>CV10%</t>
    <phoneticPr fontId="8"/>
  </si>
  <si>
    <t>CV20%</t>
    <phoneticPr fontId="8"/>
  </si>
  <si>
    <t>CV10% or CV20%</t>
    <phoneticPr fontId="8"/>
  </si>
  <si>
    <t xml:space="preserve">Samples of low value </t>
    <phoneticPr fontId="8"/>
  </si>
  <si>
    <t>&gt;1500.0</t>
    <phoneticPr fontId="1"/>
  </si>
  <si>
    <t>(U/mL)</t>
    <phoneticPr fontId="1"/>
  </si>
  <si>
    <t xml:space="preserve">age </t>
    <phoneticPr fontId="1"/>
  </si>
  <si>
    <t>Weight</t>
    <phoneticPr fontId="1"/>
  </si>
  <si>
    <t>BMI</t>
    <phoneticPr fontId="1"/>
  </si>
  <si>
    <t>Parity</t>
  </si>
  <si>
    <t>average</t>
    <phoneticPr fontId="1"/>
  </si>
  <si>
    <t>SD</t>
    <phoneticPr fontId="1"/>
  </si>
  <si>
    <t>Stage</t>
    <phoneticPr fontId="1"/>
  </si>
  <si>
    <t>Serous borderline tumor</t>
    <phoneticPr fontId="1"/>
  </si>
  <si>
    <t>ⅠA</t>
    <phoneticPr fontId="1"/>
  </si>
  <si>
    <t>pT1aNXMO</t>
    <phoneticPr fontId="1"/>
  </si>
  <si>
    <t>Mucinous borderline tumor</t>
    <phoneticPr fontId="1"/>
  </si>
  <si>
    <t>ⅣA</t>
    <phoneticPr fontId="1"/>
  </si>
  <si>
    <t>Rsidual high-grade serous carcinoma</t>
    <phoneticPr fontId="1"/>
  </si>
  <si>
    <t>pT1aNOMO</t>
    <phoneticPr fontId="1"/>
  </si>
  <si>
    <t>Endometrioid adenocarcinoma</t>
    <phoneticPr fontId="1"/>
  </si>
  <si>
    <t>ⅠC</t>
    <phoneticPr fontId="1"/>
  </si>
  <si>
    <t>Clear cell carcinoma</t>
    <phoneticPr fontId="1"/>
  </si>
  <si>
    <t>ⅠC1</t>
    <phoneticPr fontId="1"/>
  </si>
  <si>
    <t>pT1c1NOMO</t>
    <phoneticPr fontId="1"/>
  </si>
  <si>
    <t>Clear cell adenocarcinoma right ovary</t>
    <phoneticPr fontId="1"/>
  </si>
  <si>
    <t>Carcinoma left ovary</t>
    <phoneticPr fontId="1"/>
  </si>
  <si>
    <t>Endometrioid carcinoma</t>
    <phoneticPr fontId="1"/>
  </si>
  <si>
    <t>ⅢA1</t>
    <phoneticPr fontId="1"/>
  </si>
  <si>
    <t>pT2bN1aMO</t>
    <phoneticPr fontId="1"/>
  </si>
  <si>
    <t>Seromucinous borderline tumor right ovary</t>
    <phoneticPr fontId="1"/>
  </si>
  <si>
    <t>Seromucinous borderline tumor bilateral ovaries</t>
    <phoneticPr fontId="1"/>
  </si>
  <si>
    <t>Lymphnode Metastasis</t>
    <phoneticPr fontId="1"/>
  </si>
  <si>
    <t>Ascites</t>
    <phoneticPr fontId="1"/>
  </si>
  <si>
    <t>Negative</t>
    <phoneticPr fontId="1"/>
  </si>
  <si>
    <t>Positive</t>
    <phoneticPr fontId="1"/>
  </si>
  <si>
    <t>TNM</t>
    <phoneticPr fontId="1"/>
  </si>
  <si>
    <t>Others</t>
    <phoneticPr fontId="1"/>
  </si>
  <si>
    <t>Rupture of the capsule</t>
    <phoneticPr fontId="1"/>
  </si>
  <si>
    <t>bloating</t>
  </si>
  <si>
    <t>discomfort of epigastrium</t>
  </si>
  <si>
    <t xml:space="preserve">abdominal pain </t>
  </si>
  <si>
    <t>atypical genital bleeding</t>
  </si>
  <si>
    <t>None</t>
    <phoneticPr fontId="1"/>
  </si>
  <si>
    <t>Complaints　</t>
    <phoneticPr fontId="1"/>
  </si>
  <si>
    <t>Benign tumor</t>
    <phoneticPr fontId="1"/>
  </si>
  <si>
    <t>Pathological Diagnosis</t>
    <phoneticPr fontId="1"/>
  </si>
  <si>
    <t>Mucinous cystadenoma</t>
  </si>
  <si>
    <t>Mucinous cystadenoma</t>
    <phoneticPr fontId="1"/>
  </si>
  <si>
    <t>Ovarian cyst</t>
    <phoneticPr fontId="1"/>
  </si>
  <si>
    <t>Mucinous benign tumor</t>
    <phoneticPr fontId="1"/>
  </si>
  <si>
    <t>Follicular cyst</t>
    <phoneticPr fontId="1"/>
  </si>
  <si>
    <t>Mucinous cystadenoma</t>
    <phoneticPr fontId="1"/>
  </si>
  <si>
    <t>Brenner tumor and Mucinous cystadenoma</t>
    <phoneticPr fontId="1"/>
  </si>
  <si>
    <t>Mature teratoma</t>
    <phoneticPr fontId="1"/>
  </si>
  <si>
    <t>Mucinous tumor and Mature teratoma</t>
    <phoneticPr fontId="1"/>
  </si>
  <si>
    <t>Mucinous tumor</t>
    <phoneticPr fontId="1"/>
  </si>
  <si>
    <t>Benign mucinous tumor</t>
    <phoneticPr fontId="1"/>
  </si>
  <si>
    <t>Within-run precision</t>
    <phoneticPr fontId="1"/>
  </si>
  <si>
    <t>Mucinous tumore borderline malignancy (light ovary) &amp; Serous cystadenoma (right overy)</t>
    <phoneticPr fontId="1"/>
  </si>
  <si>
    <t>Times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</si>
</sst>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);[Red]\(0\)"/>
    <numFmt numFmtId="177" formatCode="0.0_);[Red]\(0.0\)"/>
    <numFmt numFmtId="178" formatCode="0.00_ "/>
    <numFmt numFmtId="179" formatCode="0.0_ "/>
    <numFmt numFmtId="180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sz val="18"/>
      <color theme="1"/>
      <name val="Arial"/>
      <family val="2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vertAlign val="superscript"/>
      <sz val="11"/>
      <color theme="1"/>
      <name val="Arial"/>
      <family val="2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/>
  </cellStyleXfs>
  <cellXfs count="35">
    <xf numFmtId="0" fontId="0" fillId="0" borderId="0" xfId="0">
      <alignment vertical="center"/>
    </xf>
    <xf numFmtId="0" fontId="0" fillId="0" borderId="0" xfId="0" applyFill="1">
      <alignment vertical="center"/>
    </xf>
    <xf numFmtId="179" fontId="0" fillId="0" borderId="0" xfId="0" applyNumberFormat="1" applyFill="1">
      <alignment vertical="center"/>
    </xf>
    <xf numFmtId="20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0" fontId="12" fillId="0" borderId="0" xfId="0" applyFont="1" applyFill="1">
      <alignment vertical="center"/>
    </xf>
    <xf numFmtId="179" fontId="13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179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176" fontId="7" fillId="0" borderId="0" xfId="2" applyNumberFormat="1" applyFont="1" applyFill="1"/>
    <xf numFmtId="176" fontId="9" fillId="0" borderId="0" xfId="2" applyNumberFormat="1" applyFont="1" applyFill="1"/>
    <xf numFmtId="0" fontId="9" fillId="0" borderId="0" xfId="2" applyFont="1" applyFill="1"/>
    <xf numFmtId="0" fontId="10" fillId="0" borderId="0" xfId="2" applyFont="1" applyFill="1"/>
    <xf numFmtId="176" fontId="9" fillId="0" borderId="1" xfId="2" applyNumberFormat="1" applyFont="1" applyFill="1" applyBorder="1"/>
    <xf numFmtId="176" fontId="9" fillId="0" borderId="3" xfId="2" applyNumberFormat="1" applyFont="1" applyFill="1" applyBorder="1" applyAlignment="1">
      <alignment horizontal="center"/>
    </xf>
    <xf numFmtId="177" fontId="9" fillId="0" borderId="3" xfId="2" applyNumberFormat="1" applyFont="1" applyFill="1" applyBorder="1" applyAlignment="1">
      <alignment horizontal="center"/>
    </xf>
    <xf numFmtId="176" fontId="9" fillId="0" borderId="0" xfId="2" applyNumberFormat="1" applyFont="1" applyFill="1" applyAlignment="1">
      <alignment horizontal="center"/>
    </xf>
    <xf numFmtId="177" fontId="9" fillId="0" borderId="0" xfId="2" applyNumberFormat="1" applyFont="1" applyFill="1"/>
    <xf numFmtId="177" fontId="4" fillId="0" borderId="0" xfId="2" applyNumberFormat="1" applyFont="1" applyFill="1"/>
    <xf numFmtId="176" fontId="9" fillId="0" borderId="4" xfId="2" applyNumberFormat="1" applyFont="1" applyFill="1" applyBorder="1" applyAlignment="1">
      <alignment horizontal="center"/>
    </xf>
    <xf numFmtId="177" fontId="4" fillId="0" borderId="4" xfId="2" applyNumberFormat="1" applyFont="1" applyFill="1" applyBorder="1"/>
    <xf numFmtId="176" fontId="9" fillId="0" borderId="4" xfId="2" applyNumberFormat="1" applyFont="1" applyFill="1" applyBorder="1"/>
    <xf numFmtId="177" fontId="9" fillId="0" borderId="4" xfId="2" applyNumberFormat="1" applyFont="1" applyFill="1" applyBorder="1"/>
    <xf numFmtId="176" fontId="10" fillId="0" borderId="0" xfId="2" applyNumberFormat="1" applyFont="1" applyFill="1"/>
    <xf numFmtId="178" fontId="4" fillId="0" borderId="0" xfId="2" applyNumberFormat="1" applyFont="1" applyFill="1"/>
    <xf numFmtId="0" fontId="13" fillId="0" borderId="0" xfId="0" applyFont="1" applyFill="1">
      <alignment vertical="center"/>
    </xf>
    <xf numFmtId="0" fontId="13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177" fontId="0" fillId="0" borderId="0" xfId="0" applyNumberFormat="1" applyFill="1">
      <alignment vertical="center"/>
    </xf>
    <xf numFmtId="56" fontId="0" fillId="0" borderId="0" xfId="0" quotePrefix="1" applyNumberFormat="1" applyFill="1" applyAlignment="1">
      <alignment horizontal="right" vertical="center"/>
    </xf>
    <xf numFmtId="0" fontId="0" fillId="0" borderId="0" xfId="0" quotePrefix="1" applyFill="1" applyAlignment="1">
      <alignment horizontal="right" vertical="center"/>
    </xf>
    <xf numFmtId="177" fontId="0" fillId="0" borderId="0" xfId="0" applyNumberFormat="1" applyFill="1" applyAlignment="1">
      <alignment horizontal="center" vertical="center"/>
    </xf>
    <xf numFmtId="176" fontId="9" fillId="0" borderId="2" xfId="2" applyNumberFormat="1" applyFont="1" applyFill="1" applyBorder="1" applyAlignment="1">
      <alignment horizontal="center"/>
    </xf>
  </cellXfs>
  <cellStyles count="3">
    <cellStyle name="パーセント 2" xfId="1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5748557306797"/>
          <c:y val="3.3694432985519648E-2"/>
          <c:w val="0.820446676218895"/>
          <c:h val="0.7859137510651332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5.4076128630832665E-2"/>
                  <c:y val="-0.40729268283414571"/>
                </c:manualLayout>
              </c:layout>
              <c:numFmt formatCode="#,##0.000_ " sourceLinked="0"/>
            </c:trendlineLbl>
          </c:trendline>
          <c:xVal>
            <c:numRef>
              <c:f>Sensitivity!$B$24:$I$24</c:f>
              <c:numCache>
                <c:formatCode>0.0_);[Red]\(0.0\)</c:formatCode>
                <c:ptCount val="8"/>
                <c:pt idx="1">
                  <c:v>0.36</c:v>
                </c:pt>
                <c:pt idx="2">
                  <c:v>0.67</c:v>
                </c:pt>
                <c:pt idx="3">
                  <c:v>1.4300000000000002</c:v>
                </c:pt>
                <c:pt idx="4">
                  <c:v>2.7</c:v>
                </c:pt>
                <c:pt idx="5">
                  <c:v>5.1000000000000005</c:v>
                </c:pt>
                <c:pt idx="6">
                  <c:v>9.8000000000000007</c:v>
                </c:pt>
                <c:pt idx="7">
                  <c:v>18.39</c:v>
                </c:pt>
              </c:numCache>
            </c:numRef>
          </c:xVal>
          <c:yVal>
            <c:numRef>
              <c:f>Sensitivity!$B$26:$I$26</c:f>
              <c:numCache>
                <c:formatCode>0.0_);[Red]\(0.0\)</c:formatCode>
                <c:ptCount val="8"/>
                <c:pt idx="1">
                  <c:v>23.424278964210227</c:v>
                </c:pt>
                <c:pt idx="2">
                  <c:v>25.416994576009561</c:v>
                </c:pt>
                <c:pt idx="3">
                  <c:v>9.3531014674773338</c:v>
                </c:pt>
                <c:pt idx="4">
                  <c:v>3.4918853391928248</c:v>
                </c:pt>
                <c:pt idx="5">
                  <c:v>4.0290287601104415</c:v>
                </c:pt>
                <c:pt idx="6">
                  <c:v>2.3069149602466932</c:v>
                </c:pt>
                <c:pt idx="7">
                  <c:v>2.5043785779211909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2-4650-AAFC-DCCE0FA5B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99168"/>
        <c:axId val="157801088"/>
      </c:scatterChart>
      <c:valAx>
        <c:axId val="15779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altLang="ja-JP" sz="12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HE4</a:t>
                </a:r>
                <a:r>
                  <a:rPr lang="ja-JP" altLang="ja-JP" sz="12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（</a:t>
                </a:r>
                <a:r>
                  <a:rPr lang="en-US" altLang="ja-JP" sz="12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pmol/L) </a:t>
                </a:r>
                <a:endParaRPr lang="ja-JP" altLang="ja-JP" sz="1200" b="1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0.0_);[Red]\(0.0\)" sourceLinked="1"/>
        <c:majorTickMark val="out"/>
        <c:minorTickMark val="none"/>
        <c:tickLblPos val="nextTo"/>
        <c:crossAx val="157801088"/>
        <c:crosses val="autoZero"/>
        <c:crossBetween val="midCat"/>
      </c:valAx>
      <c:valAx>
        <c:axId val="157801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CV(%)</a:t>
                </a:r>
              </a:p>
            </c:rich>
          </c:tx>
          <c:layout>
            <c:manualLayout>
              <c:xMode val="edge"/>
              <c:yMode val="edge"/>
              <c:x val="1.2090680100755667E-2"/>
              <c:y val="0.36986435961447239"/>
            </c:manualLayout>
          </c:layout>
          <c:overlay val="0"/>
        </c:title>
        <c:numFmt formatCode="0_ " sourceLinked="0"/>
        <c:majorTickMark val="out"/>
        <c:minorTickMark val="none"/>
        <c:tickLblPos val="nextTo"/>
        <c:crossAx val="1577991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34731</xdr:colOff>
      <xdr:row>1</xdr:row>
      <xdr:rowOff>67006</xdr:rowOff>
    </xdr:from>
    <xdr:to>
      <xdr:col>18</xdr:col>
      <xdr:colOff>374691</xdr:colOff>
      <xdr:row>22</xdr:row>
      <xdr:rowOff>113832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0208CF-83E6-40EC-A8D5-855E6A7C1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595315</xdr:colOff>
      <xdr:row>23</xdr:row>
      <xdr:rowOff>29763</xdr:rowOff>
    </xdr:from>
    <xdr:ext cx="5423295" cy="1219565"/>
    <xdr:sp macro="" textlink="">
      <xdr:nvSpPr>
        <xdr:cNvPr id="3" name="テキスト ボックス 2"/>
        <xdr:cNvSpPr txBox="1"/>
      </xdr:nvSpPr>
      <xdr:spPr>
        <a:xfrm>
          <a:off x="6167440" y="4125513"/>
          <a:ext cx="5423295" cy="1219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en-US" altLang="ja-JP" sz="1200"/>
            <a:t>Supplementary Fugure. </a:t>
          </a:r>
          <a:r>
            <a:rPr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Minimum detectable sensitivity of HE4 assay</a:t>
          </a:r>
          <a:r>
            <a:rPr lang="en-US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algn="l"/>
          <a:r>
            <a:rPr lang="en-US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 measured the human serum, which was diluted and adjusted to seven different concentrations (18.4 pmol/L, 9.8 pmol/L, 5.1 pmol/L, 2.7 pmol/L, 1.4 pmol/L, 0.7 pmol/L and 0.4 pmol/L), 10 times at each concentration, and created a precision profile from the mean. The concentration in the coefficient of variation (%) = 10 is the minimum detectable sensitivity. </a:t>
          </a:r>
          <a:endParaRPr kumimoji="1" lang="ja-JP" altLang="en-US" sz="1200"/>
        </a:p>
      </xdr:txBody>
    </xdr:sp>
    <xdr:clientData/>
  </xdr:oneCellAnchor>
  <xdr:oneCellAnchor>
    <xdr:from>
      <xdr:col>10</xdr:col>
      <xdr:colOff>53578</xdr:colOff>
      <xdr:row>0</xdr:row>
      <xdr:rowOff>166687</xdr:rowOff>
    </xdr:from>
    <xdr:ext cx="184731" cy="264560"/>
    <xdr:sp macro="" textlink="">
      <xdr:nvSpPr>
        <xdr:cNvPr id="4" name="テキスト ボックス 3"/>
        <xdr:cNvSpPr txBox="1"/>
      </xdr:nvSpPr>
      <xdr:spPr>
        <a:xfrm>
          <a:off x="6244828" y="1666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9</xdr:col>
      <xdr:colOff>589361</xdr:colOff>
      <xdr:row>0</xdr:row>
      <xdr:rowOff>65485</xdr:rowOff>
    </xdr:from>
    <xdr:to>
      <xdr:col>12</xdr:col>
      <xdr:colOff>248021</xdr:colOff>
      <xdr:row>1</xdr:row>
      <xdr:rowOff>115044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1486" y="65485"/>
          <a:ext cx="1487460" cy="335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C1" sqref="C1"/>
    </sheetView>
  </sheetViews>
  <sheetFormatPr defaultRowHeight="17.649999999999999" x14ac:dyDescent="0.7"/>
  <cols>
    <col min="1" max="16384" width="9" style="1"/>
  </cols>
  <sheetData>
    <row r="1" spans="1:7" x14ac:dyDescent="0.7">
      <c r="A1" s="27" t="s">
        <v>118</v>
      </c>
    </row>
    <row r="2" spans="1:7" x14ac:dyDescent="0.7">
      <c r="B2" s="1" t="s">
        <v>120</v>
      </c>
      <c r="C2" s="1" t="s">
        <v>11</v>
      </c>
      <c r="D2" s="1" t="s">
        <v>12</v>
      </c>
      <c r="E2" s="1" t="s">
        <v>13</v>
      </c>
    </row>
    <row r="3" spans="1:7" x14ac:dyDescent="0.7">
      <c r="B3" s="1">
        <v>1</v>
      </c>
      <c r="C3" s="2">
        <v>42.5</v>
      </c>
      <c r="D3" s="2">
        <v>248.6</v>
      </c>
      <c r="E3" s="2">
        <v>1233.7</v>
      </c>
    </row>
    <row r="4" spans="1:7" x14ac:dyDescent="0.7">
      <c r="B4" s="1">
        <v>2</v>
      </c>
      <c r="C4" s="2">
        <v>40.200000000000003</v>
      </c>
      <c r="D4" s="2">
        <v>244.5</v>
      </c>
      <c r="E4" s="2">
        <v>1273.8</v>
      </c>
    </row>
    <row r="5" spans="1:7" x14ac:dyDescent="0.7">
      <c r="B5" s="1">
        <v>3</v>
      </c>
      <c r="C5" s="2">
        <v>41.4</v>
      </c>
      <c r="D5" s="2">
        <v>240.4</v>
      </c>
      <c r="E5" s="2">
        <v>1218.7</v>
      </c>
    </row>
    <row r="6" spans="1:7" x14ac:dyDescent="0.7">
      <c r="B6" s="1">
        <v>4</v>
      </c>
      <c r="C6" s="2">
        <v>40.4</v>
      </c>
      <c r="D6" s="2">
        <v>248.7</v>
      </c>
      <c r="E6" s="2">
        <v>1284.4000000000001</v>
      </c>
    </row>
    <row r="7" spans="1:7" x14ac:dyDescent="0.7">
      <c r="B7" s="1">
        <v>5</v>
      </c>
      <c r="C7" s="2">
        <v>39.9</v>
      </c>
      <c r="D7" s="2">
        <v>249.4</v>
      </c>
      <c r="E7" s="2">
        <v>1213.0999999999999</v>
      </c>
    </row>
    <row r="8" spans="1:7" x14ac:dyDescent="0.7">
      <c r="B8" s="1">
        <v>6</v>
      </c>
      <c r="C8" s="2">
        <v>41.3</v>
      </c>
      <c r="D8" s="2">
        <v>246.7</v>
      </c>
      <c r="E8" s="2">
        <v>1243.2</v>
      </c>
    </row>
    <row r="9" spans="1:7" x14ac:dyDescent="0.7">
      <c r="B9" s="1">
        <v>7</v>
      </c>
      <c r="C9" s="2">
        <v>40.299999999999997</v>
      </c>
      <c r="D9" s="2">
        <v>242</v>
      </c>
      <c r="E9" s="2">
        <v>1243</v>
      </c>
    </row>
    <row r="10" spans="1:7" x14ac:dyDescent="0.7">
      <c r="B10" s="1">
        <v>8</v>
      </c>
      <c r="C10" s="2">
        <v>41.3</v>
      </c>
      <c r="D10" s="2">
        <v>247.8</v>
      </c>
      <c r="E10" s="2">
        <v>1184.2</v>
      </c>
    </row>
    <row r="11" spans="1:7" x14ac:dyDescent="0.7">
      <c r="B11" s="1">
        <v>9</v>
      </c>
      <c r="C11" s="2">
        <v>40</v>
      </c>
      <c r="D11" s="2">
        <v>244.8</v>
      </c>
      <c r="E11" s="2">
        <v>1184.0999999999999</v>
      </c>
    </row>
    <row r="12" spans="1:7" x14ac:dyDescent="0.7">
      <c r="B12" s="1">
        <v>10</v>
      </c>
      <c r="C12" s="2">
        <v>38.799999999999997</v>
      </c>
      <c r="D12" s="2">
        <v>248.5</v>
      </c>
      <c r="E12" s="2">
        <v>1365.3</v>
      </c>
    </row>
    <row r="13" spans="1:7" x14ac:dyDescent="0.7">
      <c r="F13" s="1" t="s">
        <v>44</v>
      </c>
    </row>
    <row r="15" spans="1:7" x14ac:dyDescent="0.7">
      <c r="A15" s="1" t="s">
        <v>31</v>
      </c>
    </row>
    <row r="16" spans="1:7" x14ac:dyDescent="0.7">
      <c r="B16" s="1" t="s">
        <v>11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</row>
    <row r="17" spans="2:8" x14ac:dyDescent="0.7">
      <c r="C17" s="2">
        <v>41.35</v>
      </c>
      <c r="D17" s="2">
        <v>39.75</v>
      </c>
      <c r="E17" s="2">
        <v>37.65</v>
      </c>
      <c r="F17" s="2">
        <v>40.400000000000006</v>
      </c>
      <c r="G17" s="2">
        <v>40.549999999999997</v>
      </c>
    </row>
    <row r="18" spans="2:8" x14ac:dyDescent="0.7">
      <c r="H18" s="1" t="s">
        <v>44</v>
      </c>
    </row>
    <row r="19" spans="2:8" x14ac:dyDescent="0.7">
      <c r="B19" s="1" t="s">
        <v>12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</row>
    <row r="20" spans="2:8" x14ac:dyDescent="0.7">
      <c r="C20" s="2">
        <v>246.55</v>
      </c>
      <c r="D20" s="2">
        <v>239.14999999999998</v>
      </c>
      <c r="E20" s="2">
        <v>248.65</v>
      </c>
      <c r="F20" s="2">
        <v>243</v>
      </c>
      <c r="G20" s="2">
        <v>241.95</v>
      </c>
    </row>
    <row r="21" spans="2:8" x14ac:dyDescent="0.7">
      <c r="H21" s="1" t="s">
        <v>44</v>
      </c>
    </row>
    <row r="22" spans="2:8" x14ac:dyDescent="0.7"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</row>
    <row r="23" spans="2:8" x14ac:dyDescent="0.7">
      <c r="C23" s="2">
        <v>1253.75</v>
      </c>
      <c r="D23" s="2">
        <v>1311.75</v>
      </c>
      <c r="E23" s="2">
        <v>1231.7</v>
      </c>
      <c r="F23" s="2">
        <v>1260.3000000000002</v>
      </c>
      <c r="G23" s="2">
        <v>1242.3499999999999</v>
      </c>
    </row>
    <row r="24" spans="2:8" x14ac:dyDescent="0.7">
      <c r="H24" s="1" t="s">
        <v>44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22" sqref="B22"/>
    </sheetView>
  </sheetViews>
  <sheetFormatPr defaultRowHeight="17.649999999999999" x14ac:dyDescent="0.7"/>
  <cols>
    <col min="1" max="1" width="9" style="1"/>
    <col min="2" max="2" width="11.6875" style="1" bestFit="1" customWidth="1"/>
    <col min="3" max="16384" width="9" style="1"/>
  </cols>
  <sheetData>
    <row r="1" spans="1:4" x14ac:dyDescent="0.7">
      <c r="A1" s="1" t="s">
        <v>30</v>
      </c>
    </row>
    <row r="2" spans="1:4" x14ac:dyDescent="0.7">
      <c r="B2" s="1" t="s">
        <v>32</v>
      </c>
    </row>
    <row r="3" spans="1:4" x14ac:dyDescent="0.7">
      <c r="B3" s="29" t="s">
        <v>19</v>
      </c>
      <c r="C3" s="30">
        <v>0</v>
      </c>
    </row>
    <row r="4" spans="1:4" x14ac:dyDescent="0.7">
      <c r="B4" s="31" t="s">
        <v>20</v>
      </c>
      <c r="C4" s="30">
        <v>190.56666666666669</v>
      </c>
    </row>
    <row r="5" spans="1:4" x14ac:dyDescent="0.7">
      <c r="B5" s="32" t="s">
        <v>21</v>
      </c>
      <c r="C5" s="30">
        <v>356.4666666666667</v>
      </c>
    </row>
    <row r="6" spans="1:4" x14ac:dyDescent="0.7">
      <c r="B6" s="32" t="s">
        <v>22</v>
      </c>
      <c r="C6" s="30">
        <v>501.83333333333331</v>
      </c>
    </row>
    <row r="7" spans="1:4" x14ac:dyDescent="0.7">
      <c r="B7" s="32" t="s">
        <v>23</v>
      </c>
      <c r="C7" s="30">
        <v>710.1</v>
      </c>
    </row>
    <row r="8" spans="1:4" x14ac:dyDescent="0.7">
      <c r="B8" s="32" t="s">
        <v>24</v>
      </c>
      <c r="C8" s="30">
        <v>820.83333333333337</v>
      </c>
    </row>
    <row r="9" spans="1:4" x14ac:dyDescent="0.7">
      <c r="B9" s="32" t="s">
        <v>25</v>
      </c>
      <c r="C9" s="30">
        <v>985.76666666666677</v>
      </c>
    </row>
    <row r="10" spans="1:4" x14ac:dyDescent="0.7">
      <c r="B10" s="32" t="s">
        <v>26</v>
      </c>
      <c r="C10" s="30">
        <v>1162.3666666666666</v>
      </c>
    </row>
    <row r="11" spans="1:4" x14ac:dyDescent="0.7">
      <c r="B11" s="32" t="s">
        <v>27</v>
      </c>
      <c r="C11" s="30">
        <v>1286.7333333333333</v>
      </c>
    </row>
    <row r="12" spans="1:4" x14ac:dyDescent="0.7">
      <c r="B12" s="32" t="s">
        <v>28</v>
      </c>
      <c r="C12" s="30">
        <v>1428.4666666666665</v>
      </c>
    </row>
    <row r="13" spans="1:4" x14ac:dyDescent="0.7">
      <c r="B13" s="32" t="s">
        <v>29</v>
      </c>
      <c r="C13" s="33" t="s">
        <v>64</v>
      </c>
    </row>
    <row r="14" spans="1:4" x14ac:dyDescent="0.7">
      <c r="D14" s="1" t="s">
        <v>44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9"/>
  <sheetViews>
    <sheetView workbookViewId="0">
      <selection activeCell="F23" sqref="F23"/>
    </sheetView>
  </sheetViews>
  <sheetFormatPr defaultRowHeight="17.649999999999999" x14ac:dyDescent="0.7"/>
  <cols>
    <col min="1" max="1" width="9" style="1"/>
    <col min="2" max="2" width="18.8125" style="1" bestFit="1" customWidth="1"/>
    <col min="3" max="3" width="14.125" style="1" bestFit="1" customWidth="1"/>
    <col min="4" max="5" width="9" style="1"/>
    <col min="6" max="6" width="18.8125" style="1" bestFit="1" customWidth="1"/>
    <col min="7" max="7" width="14.125" style="1" bestFit="1" customWidth="1"/>
    <col min="8" max="9" width="9" style="1"/>
    <col min="10" max="10" width="18.8125" style="1" bestFit="1" customWidth="1"/>
    <col min="11" max="11" width="14.125" style="1" bestFit="1" customWidth="1"/>
    <col min="12" max="13" width="9" style="1"/>
    <col min="14" max="14" width="18.8125" style="1" bestFit="1" customWidth="1"/>
    <col min="15" max="15" width="14.125" style="1" bestFit="1" customWidth="1"/>
    <col min="16" max="16384" width="9" style="1"/>
  </cols>
  <sheetData>
    <row r="3" spans="2:16" x14ac:dyDescent="0.7">
      <c r="B3" s="6" t="s">
        <v>35</v>
      </c>
      <c r="C3" s="27"/>
      <c r="D3" s="27"/>
      <c r="E3" s="27"/>
      <c r="F3" s="6" t="s">
        <v>36</v>
      </c>
      <c r="G3" s="27"/>
      <c r="H3" s="27"/>
      <c r="I3" s="27"/>
      <c r="J3" s="6" t="s">
        <v>37</v>
      </c>
      <c r="K3" s="27"/>
      <c r="L3" s="27"/>
      <c r="M3" s="27"/>
      <c r="N3" s="6" t="s">
        <v>38</v>
      </c>
      <c r="O3" s="27"/>
      <c r="P3" s="27"/>
    </row>
    <row r="4" spans="2:16" x14ac:dyDescent="0.7">
      <c r="B4" s="27" t="s">
        <v>39</v>
      </c>
      <c r="C4" s="27" t="s">
        <v>41</v>
      </c>
      <c r="D4" s="27" t="s">
        <v>42</v>
      </c>
      <c r="E4" s="27"/>
      <c r="F4" s="27" t="s">
        <v>39</v>
      </c>
      <c r="G4" s="27" t="s">
        <v>40</v>
      </c>
      <c r="H4" s="27" t="s">
        <v>42</v>
      </c>
      <c r="I4" s="27"/>
      <c r="J4" s="27" t="s">
        <v>39</v>
      </c>
      <c r="K4" s="27" t="s">
        <v>40</v>
      </c>
      <c r="L4" s="27" t="s">
        <v>42</v>
      </c>
      <c r="M4" s="27"/>
      <c r="N4" s="27" t="s">
        <v>39</v>
      </c>
      <c r="O4" s="27" t="s">
        <v>40</v>
      </c>
      <c r="P4" s="27" t="s">
        <v>42</v>
      </c>
    </row>
    <row r="5" spans="2:16" x14ac:dyDescent="0.7">
      <c r="B5" s="28" t="s">
        <v>33</v>
      </c>
      <c r="C5" s="28" t="s">
        <v>44</v>
      </c>
      <c r="D5" s="28" t="s">
        <v>43</v>
      </c>
      <c r="E5" s="28"/>
      <c r="F5" s="28" t="s">
        <v>33</v>
      </c>
      <c r="G5" s="28" t="s">
        <v>44</v>
      </c>
      <c r="H5" s="28" t="s">
        <v>43</v>
      </c>
      <c r="I5" s="28"/>
      <c r="J5" s="28" t="s">
        <v>33</v>
      </c>
      <c r="K5" s="28" t="s">
        <v>44</v>
      </c>
      <c r="L5" s="28" t="s">
        <v>43</v>
      </c>
      <c r="M5" s="28"/>
      <c r="N5" s="28" t="s">
        <v>34</v>
      </c>
      <c r="O5" s="28" t="s">
        <v>44</v>
      </c>
      <c r="P5" s="28" t="s">
        <v>43</v>
      </c>
    </row>
    <row r="6" spans="2:16" x14ac:dyDescent="0.7">
      <c r="B6" s="7">
        <v>0</v>
      </c>
      <c r="C6" s="7">
        <v>37.200000000000003</v>
      </c>
      <c r="D6" s="27">
        <v>100</v>
      </c>
      <c r="E6" s="27"/>
      <c r="F6" s="7">
        <v>0</v>
      </c>
      <c r="G6" s="7">
        <v>37.6</v>
      </c>
      <c r="H6" s="27">
        <v>100</v>
      </c>
      <c r="I6" s="27"/>
      <c r="J6" s="27">
        <v>0</v>
      </c>
      <c r="K6" s="7">
        <v>38.5</v>
      </c>
      <c r="L6" s="27">
        <v>100</v>
      </c>
      <c r="M6" s="27"/>
      <c r="N6" s="27">
        <v>0</v>
      </c>
      <c r="O6" s="7">
        <v>38.6</v>
      </c>
      <c r="P6" s="27">
        <v>100</v>
      </c>
    </row>
    <row r="7" spans="2:16" x14ac:dyDescent="0.7">
      <c r="B7" s="7">
        <v>1.9100000000000001</v>
      </c>
      <c r="C7" s="7">
        <v>38.200000000000003</v>
      </c>
      <c r="D7" s="27">
        <v>103</v>
      </c>
      <c r="E7" s="27"/>
      <c r="F7" s="7">
        <v>1.9800000000000002</v>
      </c>
      <c r="G7" s="7">
        <v>37.5</v>
      </c>
      <c r="H7" s="27">
        <v>100</v>
      </c>
      <c r="I7" s="27"/>
      <c r="J7" s="27">
        <v>51</v>
      </c>
      <c r="K7" s="7">
        <v>37.299999999999997</v>
      </c>
      <c r="L7" s="27">
        <v>97</v>
      </c>
      <c r="M7" s="27"/>
      <c r="N7" s="27">
        <v>166</v>
      </c>
      <c r="O7" s="7">
        <v>36.5</v>
      </c>
      <c r="P7" s="27">
        <v>95</v>
      </c>
    </row>
    <row r="8" spans="2:16" x14ac:dyDescent="0.7">
      <c r="B8" s="7">
        <v>3.8200000000000003</v>
      </c>
      <c r="C8" s="7">
        <v>40.9</v>
      </c>
      <c r="D8" s="27">
        <v>110</v>
      </c>
      <c r="E8" s="27"/>
      <c r="F8" s="7">
        <v>3.9600000000000004</v>
      </c>
      <c r="G8" s="7">
        <v>38.1</v>
      </c>
      <c r="H8" s="27">
        <v>101</v>
      </c>
      <c r="I8" s="27"/>
      <c r="J8" s="27">
        <v>102</v>
      </c>
      <c r="K8" s="7">
        <v>37.299999999999997</v>
      </c>
      <c r="L8" s="27">
        <v>97</v>
      </c>
      <c r="M8" s="27"/>
      <c r="N8" s="27">
        <v>332</v>
      </c>
      <c r="O8" s="7">
        <v>36.5</v>
      </c>
      <c r="P8" s="27">
        <v>95</v>
      </c>
    </row>
    <row r="9" spans="2:16" x14ac:dyDescent="0.7">
      <c r="B9" s="2">
        <v>5.73</v>
      </c>
      <c r="C9" s="2">
        <v>38.6</v>
      </c>
      <c r="D9" s="1">
        <v>104</v>
      </c>
      <c r="F9" s="2">
        <v>5.94</v>
      </c>
      <c r="G9" s="2">
        <v>38.5</v>
      </c>
      <c r="H9" s="1">
        <v>102</v>
      </c>
      <c r="J9" s="1">
        <v>153</v>
      </c>
      <c r="K9" s="2">
        <v>38.5</v>
      </c>
      <c r="L9" s="1">
        <v>100</v>
      </c>
      <c r="N9" s="1">
        <v>498</v>
      </c>
      <c r="O9" s="2">
        <v>37</v>
      </c>
      <c r="P9" s="1">
        <v>96</v>
      </c>
    </row>
    <row r="10" spans="2:16" x14ac:dyDescent="0.7">
      <c r="B10" s="2">
        <v>7.6400000000000006</v>
      </c>
      <c r="C10" s="2">
        <v>40.799999999999997</v>
      </c>
      <c r="D10" s="1">
        <v>110</v>
      </c>
      <c r="F10" s="2">
        <v>7.9200000000000008</v>
      </c>
      <c r="G10" s="2">
        <v>37.799999999999997</v>
      </c>
      <c r="H10" s="1">
        <v>101</v>
      </c>
      <c r="J10" s="1">
        <v>204</v>
      </c>
      <c r="K10" s="2">
        <v>40.299999999999997</v>
      </c>
      <c r="L10" s="1">
        <v>105</v>
      </c>
      <c r="N10" s="1">
        <v>664</v>
      </c>
      <c r="O10" s="2">
        <v>37.1</v>
      </c>
      <c r="P10" s="1">
        <v>96</v>
      </c>
    </row>
    <row r="11" spans="2:16" x14ac:dyDescent="0.7">
      <c r="B11" s="2">
        <v>9.5500000000000007</v>
      </c>
      <c r="C11" s="2">
        <v>39.299999999999997</v>
      </c>
      <c r="D11" s="1">
        <v>106</v>
      </c>
      <c r="F11" s="2">
        <v>9.9</v>
      </c>
      <c r="G11" s="2">
        <v>37.200000000000003</v>
      </c>
      <c r="H11" s="1">
        <v>99</v>
      </c>
      <c r="J11" s="1">
        <v>255</v>
      </c>
      <c r="K11" s="2">
        <v>39.299999999999997</v>
      </c>
      <c r="L11" s="1">
        <v>102</v>
      </c>
      <c r="N11" s="1">
        <v>830</v>
      </c>
      <c r="O11" s="2">
        <v>37.299999999999997</v>
      </c>
      <c r="P11" s="1">
        <v>97</v>
      </c>
    </row>
    <row r="12" spans="2:16" x14ac:dyDescent="0.7">
      <c r="B12" s="2">
        <v>11.46</v>
      </c>
      <c r="C12" s="2">
        <v>40.5</v>
      </c>
      <c r="D12" s="1">
        <v>109</v>
      </c>
      <c r="F12" s="2">
        <v>11.88</v>
      </c>
      <c r="G12" s="2">
        <v>38.6</v>
      </c>
      <c r="H12" s="1">
        <v>103</v>
      </c>
      <c r="J12" s="1">
        <v>306</v>
      </c>
      <c r="K12" s="2">
        <v>38.9</v>
      </c>
      <c r="L12" s="1">
        <v>101</v>
      </c>
      <c r="N12" s="1">
        <v>996</v>
      </c>
      <c r="O12" s="2">
        <v>37.6</v>
      </c>
      <c r="P12" s="1">
        <v>97</v>
      </c>
    </row>
    <row r="13" spans="2:16" x14ac:dyDescent="0.7">
      <c r="B13" s="2">
        <v>13.370000000000001</v>
      </c>
      <c r="C13" s="2">
        <v>39.200000000000003</v>
      </c>
      <c r="D13" s="1">
        <v>105</v>
      </c>
      <c r="F13" s="2">
        <v>13.86</v>
      </c>
      <c r="G13" s="2">
        <v>38.9</v>
      </c>
      <c r="H13" s="1">
        <v>103</v>
      </c>
      <c r="J13" s="1">
        <v>357</v>
      </c>
      <c r="K13" s="2">
        <v>37.5</v>
      </c>
      <c r="L13" s="1">
        <v>97</v>
      </c>
      <c r="N13" s="1">
        <v>1162</v>
      </c>
      <c r="O13" s="2">
        <v>38.1</v>
      </c>
      <c r="P13" s="1">
        <v>99</v>
      </c>
    </row>
    <row r="14" spans="2:16" x14ac:dyDescent="0.7">
      <c r="B14" s="2">
        <v>15.280000000000001</v>
      </c>
      <c r="C14" s="2">
        <v>41.2</v>
      </c>
      <c r="D14" s="1">
        <v>111</v>
      </c>
      <c r="F14" s="2">
        <v>15.840000000000002</v>
      </c>
      <c r="G14" s="2">
        <v>37.1</v>
      </c>
      <c r="H14" s="1">
        <v>99</v>
      </c>
      <c r="J14" s="1">
        <v>408</v>
      </c>
      <c r="K14" s="2">
        <v>39.4</v>
      </c>
      <c r="L14" s="1">
        <v>102</v>
      </c>
      <c r="N14" s="1">
        <v>1328</v>
      </c>
      <c r="O14" s="2">
        <v>36.6</v>
      </c>
      <c r="P14" s="1">
        <v>95</v>
      </c>
    </row>
    <row r="15" spans="2:16" x14ac:dyDescent="0.7">
      <c r="B15" s="2">
        <v>17.190000000000001</v>
      </c>
      <c r="C15" s="2">
        <v>40.799999999999997</v>
      </c>
      <c r="D15" s="1">
        <v>110</v>
      </c>
      <c r="F15" s="2">
        <v>17.82</v>
      </c>
      <c r="G15" s="2">
        <v>38.4</v>
      </c>
      <c r="H15" s="1">
        <v>102</v>
      </c>
      <c r="J15" s="1">
        <v>459</v>
      </c>
      <c r="K15" s="2">
        <v>40</v>
      </c>
      <c r="L15" s="1">
        <v>104</v>
      </c>
      <c r="N15" s="1">
        <v>1494</v>
      </c>
      <c r="O15" s="2">
        <v>36.299999999999997</v>
      </c>
      <c r="P15" s="1">
        <v>94</v>
      </c>
    </row>
    <row r="16" spans="2:16" x14ac:dyDescent="0.7">
      <c r="B16" s="2">
        <v>19.100000000000001</v>
      </c>
      <c r="C16" s="2">
        <v>41.5</v>
      </c>
      <c r="D16" s="1">
        <v>112</v>
      </c>
      <c r="F16" s="2">
        <v>19.8</v>
      </c>
      <c r="G16" s="2">
        <v>39.200000000000003</v>
      </c>
      <c r="H16" s="1">
        <v>104</v>
      </c>
      <c r="J16" s="1">
        <v>510</v>
      </c>
      <c r="K16" s="2">
        <v>40.4</v>
      </c>
      <c r="L16" s="1">
        <v>105</v>
      </c>
      <c r="N16" s="1">
        <v>1660</v>
      </c>
      <c r="O16" s="2">
        <v>36.6</v>
      </c>
      <c r="P16" s="1">
        <v>95</v>
      </c>
    </row>
    <row r="19" spans="2:2" x14ac:dyDescent="0.7">
      <c r="B19" s="1" t="s">
        <v>45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zoomScale="80" zoomScaleNormal="80" workbookViewId="0">
      <selection activeCell="O36" sqref="O36"/>
    </sheetView>
  </sheetViews>
  <sheetFormatPr defaultColWidth="8.125" defaultRowHeight="13.5" x14ac:dyDescent="0.35"/>
  <cols>
    <col min="1" max="9" width="8.125" style="12"/>
    <col min="10" max="10" width="1.5625" style="12" customWidth="1"/>
    <col min="11" max="16384" width="8.125" style="12"/>
  </cols>
  <sheetData>
    <row r="1" spans="1:16" ht="22.5" x14ac:dyDescent="0.6">
      <c r="A1" s="11" t="s">
        <v>62</v>
      </c>
      <c r="K1" s="13"/>
      <c r="L1" s="14"/>
      <c r="M1" s="13"/>
      <c r="N1" s="13"/>
      <c r="O1" s="13"/>
      <c r="P1" s="13"/>
    </row>
    <row r="2" spans="1:16" x14ac:dyDescent="0.35">
      <c r="A2" s="15"/>
      <c r="B2" s="34" t="s">
        <v>63</v>
      </c>
      <c r="C2" s="34"/>
      <c r="D2" s="34"/>
      <c r="E2" s="34"/>
      <c r="F2" s="34"/>
      <c r="G2" s="34"/>
      <c r="H2" s="34"/>
      <c r="I2" s="34"/>
      <c r="K2" s="13"/>
      <c r="L2" s="13"/>
      <c r="M2" s="13"/>
      <c r="N2" s="13"/>
      <c r="O2" s="13"/>
      <c r="P2" s="13"/>
    </row>
    <row r="3" spans="1:16" ht="13.9" thickBot="1" x14ac:dyDescent="0.4">
      <c r="A3" s="16" t="s">
        <v>46</v>
      </c>
      <c r="B3" s="17" t="s">
        <v>47</v>
      </c>
      <c r="C3" s="17" t="s">
        <v>48</v>
      </c>
      <c r="D3" s="17" t="s">
        <v>48</v>
      </c>
      <c r="E3" s="17" t="s">
        <v>48</v>
      </c>
      <c r="F3" s="17" t="s">
        <v>49</v>
      </c>
      <c r="G3" s="17" t="s">
        <v>50</v>
      </c>
      <c r="H3" s="17" t="s">
        <v>51</v>
      </c>
      <c r="I3" s="17" t="s">
        <v>52</v>
      </c>
      <c r="L3" s="13"/>
      <c r="M3" s="13"/>
      <c r="N3" s="13"/>
      <c r="O3" s="13"/>
      <c r="P3" s="13"/>
    </row>
    <row r="4" spans="1:16" ht="13.9" thickTop="1" x14ac:dyDescent="0.35">
      <c r="A4" s="18">
        <v>1</v>
      </c>
      <c r="B4" s="13"/>
      <c r="C4" s="19">
        <v>0.5</v>
      </c>
      <c r="D4" s="19">
        <v>0.9</v>
      </c>
      <c r="E4" s="19">
        <v>1.5</v>
      </c>
      <c r="F4" s="19">
        <v>2.6</v>
      </c>
      <c r="G4" s="19">
        <v>5.3</v>
      </c>
      <c r="H4" s="19">
        <v>9.9</v>
      </c>
      <c r="I4" s="19">
        <v>18</v>
      </c>
      <c r="K4" s="14" t="s">
        <v>53</v>
      </c>
      <c r="L4" s="13"/>
      <c r="M4" s="13"/>
      <c r="N4" s="13"/>
      <c r="O4" s="13"/>
      <c r="P4" s="13"/>
    </row>
    <row r="5" spans="1:16" x14ac:dyDescent="0.35">
      <c r="A5" s="18">
        <v>2</v>
      </c>
      <c r="B5" s="13"/>
      <c r="C5" s="19">
        <v>0.3</v>
      </c>
      <c r="D5" s="19">
        <v>0.3</v>
      </c>
      <c r="E5" s="19">
        <v>1.5</v>
      </c>
      <c r="F5" s="19">
        <v>2.7</v>
      </c>
      <c r="G5" s="19">
        <v>4.8</v>
      </c>
      <c r="H5" s="19">
        <v>9.5</v>
      </c>
      <c r="I5" s="19">
        <v>18.5</v>
      </c>
      <c r="K5" s="13"/>
      <c r="L5" s="13"/>
      <c r="M5" s="13"/>
      <c r="N5" s="13"/>
      <c r="O5" s="13"/>
      <c r="P5" s="13"/>
    </row>
    <row r="6" spans="1:16" x14ac:dyDescent="0.35">
      <c r="A6" s="18">
        <v>3</v>
      </c>
      <c r="B6" s="13"/>
      <c r="C6" s="19">
        <v>0.3</v>
      </c>
      <c r="D6" s="19">
        <v>0.6</v>
      </c>
      <c r="E6" s="19">
        <v>1.4</v>
      </c>
      <c r="F6" s="19">
        <v>2.9</v>
      </c>
      <c r="G6" s="19">
        <v>5</v>
      </c>
      <c r="H6" s="19">
        <v>9.6999999999999993</v>
      </c>
      <c r="I6" s="19">
        <v>18.2</v>
      </c>
      <c r="K6" s="13"/>
      <c r="L6" s="13"/>
      <c r="M6" s="13"/>
      <c r="N6" s="13"/>
      <c r="O6" s="13"/>
      <c r="P6" s="13"/>
    </row>
    <row r="7" spans="1:16" x14ac:dyDescent="0.35">
      <c r="A7" s="18">
        <v>4</v>
      </c>
      <c r="B7" s="13"/>
      <c r="C7" s="19">
        <v>0.3</v>
      </c>
      <c r="D7" s="19">
        <v>0.7</v>
      </c>
      <c r="E7" s="19">
        <v>1.5</v>
      </c>
      <c r="F7" s="19">
        <v>2.6</v>
      </c>
      <c r="G7" s="19">
        <v>5.5</v>
      </c>
      <c r="H7" s="19">
        <v>9.6</v>
      </c>
      <c r="I7" s="19">
        <v>18.2</v>
      </c>
      <c r="K7" s="13"/>
      <c r="L7" s="13"/>
      <c r="M7" s="13"/>
      <c r="N7" s="13"/>
      <c r="O7" s="13"/>
      <c r="P7" s="13"/>
    </row>
    <row r="8" spans="1:16" x14ac:dyDescent="0.35">
      <c r="A8" s="18">
        <v>5</v>
      </c>
      <c r="B8" s="13"/>
      <c r="C8" s="19">
        <v>0.3</v>
      </c>
      <c r="D8" s="19">
        <v>0.7</v>
      </c>
      <c r="E8" s="19">
        <v>1.2</v>
      </c>
      <c r="F8" s="19">
        <v>2.6</v>
      </c>
      <c r="G8" s="19">
        <v>5.0999999999999996</v>
      </c>
      <c r="H8" s="19">
        <v>9.8000000000000007</v>
      </c>
      <c r="I8" s="19">
        <v>18</v>
      </c>
      <c r="K8" s="13"/>
      <c r="L8" s="13"/>
      <c r="M8" s="13"/>
      <c r="N8" s="13"/>
      <c r="O8" s="13"/>
      <c r="P8" s="13"/>
    </row>
    <row r="9" spans="1:16" x14ac:dyDescent="0.35">
      <c r="A9" s="18">
        <v>6</v>
      </c>
      <c r="B9" s="13"/>
      <c r="C9" s="19">
        <v>0.5</v>
      </c>
      <c r="D9" s="19">
        <v>0.9</v>
      </c>
      <c r="E9" s="19">
        <v>1.4</v>
      </c>
      <c r="F9" s="19">
        <v>2.7</v>
      </c>
      <c r="G9" s="19">
        <v>5</v>
      </c>
      <c r="H9" s="19">
        <v>9.9</v>
      </c>
      <c r="I9" s="19">
        <v>18.8</v>
      </c>
      <c r="K9" s="13"/>
      <c r="L9" s="13"/>
      <c r="M9" s="13"/>
      <c r="N9" s="13"/>
      <c r="O9" s="13"/>
      <c r="P9" s="13"/>
    </row>
    <row r="10" spans="1:16" x14ac:dyDescent="0.35">
      <c r="A10" s="18">
        <v>7</v>
      </c>
      <c r="B10" s="13"/>
      <c r="C10" s="19">
        <v>0.3</v>
      </c>
      <c r="D10" s="19">
        <v>0.6</v>
      </c>
      <c r="E10" s="19">
        <v>1.6</v>
      </c>
      <c r="F10" s="19">
        <v>2.7</v>
      </c>
      <c r="G10" s="19">
        <v>5.2</v>
      </c>
      <c r="H10" s="19">
        <v>9.6</v>
      </c>
      <c r="I10" s="19">
        <v>19.100000000000001</v>
      </c>
      <c r="K10" s="13"/>
      <c r="L10" s="13"/>
      <c r="M10" s="13"/>
      <c r="N10" s="13"/>
      <c r="O10" s="13"/>
      <c r="P10" s="13"/>
    </row>
    <row r="11" spans="1:16" x14ac:dyDescent="0.35">
      <c r="A11" s="18">
        <v>8</v>
      </c>
      <c r="B11" s="13"/>
      <c r="C11" s="19">
        <v>0.4</v>
      </c>
      <c r="D11" s="19">
        <v>0.6</v>
      </c>
      <c r="E11" s="19">
        <v>1.3</v>
      </c>
      <c r="F11" s="19">
        <v>2.8</v>
      </c>
      <c r="G11" s="19">
        <v>5</v>
      </c>
      <c r="H11" s="19">
        <v>9.8000000000000007</v>
      </c>
      <c r="I11" s="19">
        <v>19</v>
      </c>
      <c r="K11" s="13"/>
      <c r="L11" s="13"/>
      <c r="M11" s="13"/>
      <c r="N11" s="13"/>
      <c r="O11" s="13"/>
      <c r="P11" s="13"/>
    </row>
    <row r="12" spans="1:16" x14ac:dyDescent="0.35">
      <c r="A12" s="18">
        <v>9</v>
      </c>
      <c r="B12" s="13"/>
      <c r="C12" s="19">
        <v>0.3</v>
      </c>
      <c r="D12" s="19">
        <v>0.7</v>
      </c>
      <c r="E12" s="19">
        <v>1.6</v>
      </c>
      <c r="F12" s="19">
        <v>2.7</v>
      </c>
      <c r="G12" s="19">
        <v>4.9000000000000004</v>
      </c>
      <c r="H12" s="19">
        <v>9.9</v>
      </c>
      <c r="I12" s="19">
        <v>17.7</v>
      </c>
    </row>
    <row r="13" spans="1:16" x14ac:dyDescent="0.35">
      <c r="A13" s="18">
        <v>10</v>
      </c>
      <c r="B13" s="13"/>
      <c r="C13" s="19">
        <v>0.4</v>
      </c>
      <c r="D13" s="19">
        <v>0.7</v>
      </c>
      <c r="E13" s="19">
        <v>1.3</v>
      </c>
      <c r="F13" s="19">
        <v>2.7</v>
      </c>
      <c r="G13" s="19">
        <v>5.2</v>
      </c>
      <c r="H13" s="19">
        <v>10.3</v>
      </c>
      <c r="I13" s="19">
        <v>18.399999999999999</v>
      </c>
    </row>
    <row r="14" spans="1:16" x14ac:dyDescent="0.35">
      <c r="A14" s="18">
        <v>11</v>
      </c>
      <c r="B14" s="20"/>
      <c r="C14" s="20"/>
      <c r="D14" s="20"/>
      <c r="E14" s="20"/>
      <c r="F14" s="20"/>
      <c r="G14" s="20"/>
      <c r="H14" s="20"/>
      <c r="I14" s="20"/>
    </row>
    <row r="15" spans="1:16" x14ac:dyDescent="0.35">
      <c r="A15" s="18">
        <v>12</v>
      </c>
      <c r="B15" s="20"/>
      <c r="C15" s="20"/>
      <c r="D15" s="20"/>
      <c r="E15" s="20"/>
      <c r="F15" s="20"/>
      <c r="G15" s="20"/>
      <c r="H15" s="20"/>
      <c r="I15" s="20"/>
    </row>
    <row r="16" spans="1:16" x14ac:dyDescent="0.35">
      <c r="A16" s="18">
        <v>13</v>
      </c>
      <c r="B16" s="20"/>
      <c r="C16" s="20"/>
      <c r="D16" s="20"/>
      <c r="E16" s="20"/>
      <c r="F16" s="20"/>
      <c r="G16" s="20"/>
      <c r="H16" s="20"/>
      <c r="I16" s="20"/>
    </row>
    <row r="17" spans="1:9" x14ac:dyDescent="0.35">
      <c r="A17" s="18">
        <v>14</v>
      </c>
      <c r="B17" s="20"/>
      <c r="C17" s="20"/>
      <c r="D17" s="20"/>
      <c r="E17" s="20"/>
      <c r="F17" s="20"/>
      <c r="G17" s="20"/>
      <c r="H17" s="20"/>
      <c r="I17" s="20"/>
    </row>
    <row r="18" spans="1:9" x14ac:dyDescent="0.35">
      <c r="A18" s="18">
        <v>15</v>
      </c>
      <c r="B18" s="20"/>
      <c r="C18" s="20"/>
      <c r="D18" s="20"/>
      <c r="E18" s="20"/>
      <c r="F18" s="20"/>
      <c r="G18" s="20"/>
      <c r="H18" s="20"/>
      <c r="I18" s="20"/>
    </row>
    <row r="19" spans="1:9" x14ac:dyDescent="0.35">
      <c r="A19" s="18">
        <v>16</v>
      </c>
      <c r="B19" s="20"/>
      <c r="C19" s="20"/>
      <c r="D19" s="20"/>
      <c r="E19" s="20"/>
      <c r="F19" s="20"/>
      <c r="G19" s="20"/>
      <c r="H19" s="20"/>
      <c r="I19" s="20"/>
    </row>
    <row r="20" spans="1:9" x14ac:dyDescent="0.35">
      <c r="A20" s="18">
        <v>17</v>
      </c>
      <c r="B20" s="20"/>
      <c r="C20" s="20"/>
      <c r="D20" s="20"/>
      <c r="E20" s="20"/>
      <c r="F20" s="20"/>
      <c r="G20" s="20"/>
      <c r="H20" s="20"/>
      <c r="I20" s="20"/>
    </row>
    <row r="21" spans="1:9" x14ac:dyDescent="0.35">
      <c r="A21" s="18">
        <v>18</v>
      </c>
      <c r="B21" s="20"/>
      <c r="C21" s="20"/>
      <c r="D21" s="20"/>
      <c r="E21" s="20"/>
      <c r="F21" s="20"/>
      <c r="G21" s="20"/>
      <c r="H21" s="20"/>
      <c r="I21" s="20"/>
    </row>
    <row r="22" spans="1:9" x14ac:dyDescent="0.35">
      <c r="A22" s="18">
        <v>19</v>
      </c>
      <c r="B22" s="20"/>
      <c r="C22" s="20"/>
      <c r="D22" s="20"/>
      <c r="E22" s="20"/>
      <c r="F22" s="20"/>
      <c r="G22" s="20"/>
      <c r="H22" s="20"/>
      <c r="I22" s="20"/>
    </row>
    <row r="23" spans="1:9" x14ac:dyDescent="0.35">
      <c r="A23" s="21">
        <v>20</v>
      </c>
      <c r="B23" s="22"/>
      <c r="C23" s="22"/>
      <c r="D23" s="22"/>
      <c r="E23" s="22"/>
      <c r="F23" s="22"/>
      <c r="G23" s="22"/>
      <c r="H23" s="22"/>
      <c r="I23" s="22"/>
    </row>
    <row r="24" spans="1:9" x14ac:dyDescent="0.35">
      <c r="A24" s="12" t="s">
        <v>54</v>
      </c>
      <c r="B24" s="19"/>
      <c r="C24" s="19">
        <f t="shared" ref="C24:I24" si="0">AVERAGE(C4:C23)</f>
        <v>0.36</v>
      </c>
      <c r="D24" s="19">
        <f t="shared" si="0"/>
        <v>0.67</v>
      </c>
      <c r="E24" s="19">
        <f t="shared" si="0"/>
        <v>1.4300000000000002</v>
      </c>
      <c r="F24" s="19">
        <f t="shared" si="0"/>
        <v>2.7</v>
      </c>
      <c r="G24" s="19">
        <f t="shared" si="0"/>
        <v>5.1000000000000005</v>
      </c>
      <c r="H24" s="19">
        <f t="shared" si="0"/>
        <v>9.8000000000000007</v>
      </c>
      <c r="I24" s="19">
        <f t="shared" si="0"/>
        <v>18.39</v>
      </c>
    </row>
    <row r="25" spans="1:9" x14ac:dyDescent="0.35">
      <c r="A25" s="12" t="s">
        <v>55</v>
      </c>
      <c r="B25" s="19"/>
      <c r="C25" s="19">
        <f t="shared" ref="C25:I25" si="1">STDEV(C4:C23)</f>
        <v>8.4327404271156814E-2</v>
      </c>
      <c r="D25" s="19">
        <f t="shared" si="1"/>
        <v>0.17029386365926405</v>
      </c>
      <c r="E25" s="19">
        <f t="shared" si="1"/>
        <v>0.13374935098492588</v>
      </c>
      <c r="F25" s="19">
        <f t="shared" si="1"/>
        <v>9.4280904158206266E-2</v>
      </c>
      <c r="G25" s="19">
        <f t="shared" si="1"/>
        <v>0.20548046676563256</v>
      </c>
      <c r="H25" s="19">
        <f>STDEV(H4:H23)</f>
        <v>0.22607766610417593</v>
      </c>
      <c r="I25" s="19">
        <f t="shared" si="1"/>
        <v>0.46055522047970704</v>
      </c>
    </row>
    <row r="26" spans="1:9" x14ac:dyDescent="0.35">
      <c r="A26" s="23" t="s">
        <v>56</v>
      </c>
      <c r="B26" s="24"/>
      <c r="C26" s="24">
        <f t="shared" ref="C26:I26" si="2">C25/C24*100</f>
        <v>23.424278964210227</v>
      </c>
      <c r="D26" s="24">
        <f t="shared" si="2"/>
        <v>25.416994576009561</v>
      </c>
      <c r="E26" s="24">
        <f t="shared" si="2"/>
        <v>9.3531014674773338</v>
      </c>
      <c r="F26" s="24">
        <f t="shared" si="2"/>
        <v>3.4918853391928248</v>
      </c>
      <c r="G26" s="24">
        <f t="shared" si="2"/>
        <v>4.0290287601104415</v>
      </c>
      <c r="H26" s="24">
        <f t="shared" si="2"/>
        <v>2.3069149602466932</v>
      </c>
      <c r="I26" s="24">
        <f t="shared" si="2"/>
        <v>2.5043785779211909</v>
      </c>
    </row>
    <row r="35" spans="11:15" x14ac:dyDescent="0.35">
      <c r="L35" s="14"/>
    </row>
    <row r="37" spans="11:15" ht="15.4" x14ac:dyDescent="0.35">
      <c r="L37" s="12" t="s">
        <v>57</v>
      </c>
    </row>
    <row r="38" spans="11:15" x14ac:dyDescent="0.35">
      <c r="K38" s="12" t="s">
        <v>58</v>
      </c>
      <c r="L38" s="20">
        <v>12.311</v>
      </c>
      <c r="O38" s="25"/>
    </row>
    <row r="39" spans="11:15" x14ac:dyDescent="0.35">
      <c r="K39" s="12" t="s">
        <v>59</v>
      </c>
      <c r="L39" s="26">
        <v>-0.67400000000000004</v>
      </c>
    </row>
    <row r="40" spans="11:15" x14ac:dyDescent="0.35">
      <c r="K40" s="12" t="s">
        <v>60</v>
      </c>
      <c r="L40" s="19">
        <f>EXP((LN(10)-LN(L38))/L39)</f>
        <v>1.3613392521769339</v>
      </c>
    </row>
    <row r="41" spans="11:15" x14ac:dyDescent="0.35">
      <c r="K41" s="12" t="s">
        <v>61</v>
      </c>
      <c r="L41" s="19">
        <f>EXP((LN(20)-LN(L38))/L39)</f>
        <v>0.4867817928324138</v>
      </c>
    </row>
    <row r="43" spans="11:15" x14ac:dyDescent="0.35">
      <c r="L43" s="14"/>
    </row>
  </sheetData>
  <mergeCells count="1">
    <mergeCell ref="B2:I2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I24" sqref="I24"/>
    </sheetView>
  </sheetViews>
  <sheetFormatPr defaultRowHeight="17.649999999999999" x14ac:dyDescent="0.7"/>
  <cols>
    <col min="1" max="16384" width="9" style="1"/>
  </cols>
  <sheetData>
    <row r="1" spans="1:9" x14ac:dyDescent="0.7">
      <c r="A1" s="1" t="s">
        <v>0</v>
      </c>
      <c r="B1" s="1" t="s">
        <v>4</v>
      </c>
      <c r="C1" s="1" t="s">
        <v>5</v>
      </c>
      <c r="D1" s="1" t="s">
        <v>10</v>
      </c>
      <c r="E1" s="1" t="s">
        <v>9</v>
      </c>
      <c r="F1" s="1" t="s">
        <v>1</v>
      </c>
    </row>
    <row r="2" spans="1:9" x14ac:dyDescent="0.7">
      <c r="A2" s="1">
        <v>1</v>
      </c>
      <c r="B2" s="2">
        <v>35.1</v>
      </c>
      <c r="C2" s="2">
        <v>16.399999999999999</v>
      </c>
      <c r="D2" s="2">
        <v>3.3687</v>
      </c>
      <c r="E2" s="2">
        <v>8.7714999999999996</v>
      </c>
      <c r="F2" s="1">
        <v>0</v>
      </c>
      <c r="I2" s="1" t="s">
        <v>1</v>
      </c>
    </row>
    <row r="3" spans="1:9" x14ac:dyDescent="0.7">
      <c r="A3" s="1">
        <v>2</v>
      </c>
      <c r="B3" s="2">
        <v>39.5</v>
      </c>
      <c r="C3" s="2">
        <v>17.600000000000001</v>
      </c>
      <c r="D3" s="2">
        <v>4.4325000000000001</v>
      </c>
      <c r="E3" s="2">
        <v>10.2722</v>
      </c>
      <c r="F3" s="1">
        <v>0</v>
      </c>
      <c r="I3" s="3" t="s">
        <v>2</v>
      </c>
    </row>
    <row r="4" spans="1:9" x14ac:dyDescent="0.7">
      <c r="A4" s="1">
        <v>3</v>
      </c>
      <c r="B4" s="2">
        <v>30.3</v>
      </c>
      <c r="C4" s="2">
        <v>16.8</v>
      </c>
      <c r="D4" s="2">
        <v>2.4013</v>
      </c>
      <c r="E4" s="2">
        <v>7.7474999999999996</v>
      </c>
      <c r="F4" s="1">
        <v>0</v>
      </c>
      <c r="I4" s="1" t="s">
        <v>3</v>
      </c>
    </row>
    <row r="5" spans="1:9" x14ac:dyDescent="0.7">
      <c r="A5" s="1">
        <v>4</v>
      </c>
      <c r="B5" s="2">
        <v>46.3</v>
      </c>
      <c r="C5" s="2">
        <v>14.8</v>
      </c>
      <c r="D5" s="2">
        <v>6.2756999999999996</v>
      </c>
      <c r="E5" s="2">
        <v>10.6311</v>
      </c>
      <c r="F5" s="1">
        <v>0</v>
      </c>
    </row>
    <row r="6" spans="1:9" x14ac:dyDescent="0.7">
      <c r="A6" s="1">
        <v>5</v>
      </c>
      <c r="B6" s="2">
        <v>41.3</v>
      </c>
      <c r="C6" s="2">
        <v>22.4</v>
      </c>
      <c r="D6" s="2">
        <v>4.9749999999999996</v>
      </c>
      <c r="E6" s="2">
        <v>12.5158</v>
      </c>
      <c r="F6" s="1">
        <v>0</v>
      </c>
    </row>
    <row r="7" spans="1:9" x14ac:dyDescent="0.7">
      <c r="A7" s="1">
        <v>6</v>
      </c>
      <c r="B7" s="2">
        <v>59.9</v>
      </c>
      <c r="C7" s="2">
        <v>123.8</v>
      </c>
      <c r="D7" s="2">
        <v>12.370799999999999</v>
      </c>
      <c r="E7" s="2">
        <v>42.400500000000001</v>
      </c>
      <c r="F7" s="1">
        <v>0</v>
      </c>
    </row>
    <row r="8" spans="1:9" x14ac:dyDescent="0.7">
      <c r="A8" s="1">
        <v>7</v>
      </c>
      <c r="B8" s="2">
        <v>30.2</v>
      </c>
      <c r="C8" s="2">
        <v>14</v>
      </c>
      <c r="D8" s="2">
        <v>2.3565</v>
      </c>
      <c r="E8" s="2">
        <v>6.8239000000000001</v>
      </c>
      <c r="F8" s="1">
        <v>0</v>
      </c>
    </row>
    <row r="9" spans="1:9" x14ac:dyDescent="0.7">
      <c r="A9" s="1">
        <v>8</v>
      </c>
      <c r="B9" s="2">
        <v>37.799999999999997</v>
      </c>
      <c r="C9" s="2">
        <v>9.1999999999999993</v>
      </c>
      <c r="D9" s="2">
        <v>3.8561000000000001</v>
      </c>
      <c r="E9" s="2">
        <v>6.3689</v>
      </c>
      <c r="F9" s="1">
        <v>0</v>
      </c>
    </row>
    <row r="10" spans="1:9" x14ac:dyDescent="0.7">
      <c r="A10" s="1">
        <v>9</v>
      </c>
      <c r="B10" s="2">
        <v>37.1</v>
      </c>
      <c r="C10" s="2">
        <v>16.600000000000001</v>
      </c>
      <c r="D10" s="2">
        <v>3.8283</v>
      </c>
      <c r="E10" s="2">
        <v>9.3185000000000002</v>
      </c>
      <c r="F10" s="1">
        <v>0</v>
      </c>
    </row>
    <row r="11" spans="1:9" x14ac:dyDescent="0.7">
      <c r="A11" s="1">
        <v>10</v>
      </c>
      <c r="B11" s="2">
        <v>40.799999999999997</v>
      </c>
      <c r="C11" s="2">
        <v>16.899999999999999</v>
      </c>
      <c r="D11" s="2">
        <v>4.7591000000000001</v>
      </c>
      <c r="E11" s="2">
        <v>10.3088</v>
      </c>
      <c r="F11" s="1">
        <v>0</v>
      </c>
    </row>
    <row r="12" spans="1:9" x14ac:dyDescent="0.7">
      <c r="A12" s="1">
        <v>11</v>
      </c>
      <c r="B12" s="2">
        <v>42.6</v>
      </c>
      <c r="C12" s="2">
        <v>11.8</v>
      </c>
      <c r="D12" s="2">
        <v>5.1364000000000001</v>
      </c>
      <c r="E12" s="2">
        <v>8.4600000000000009</v>
      </c>
      <c r="F12" s="1">
        <v>0</v>
      </c>
    </row>
    <row r="13" spans="1:9" x14ac:dyDescent="0.7">
      <c r="A13" s="1">
        <v>12</v>
      </c>
      <c r="B13" s="2">
        <v>30.1</v>
      </c>
      <c r="C13" s="2">
        <v>18.8</v>
      </c>
      <c r="D13" s="2">
        <v>2.3809999999999998</v>
      </c>
      <c r="E13" s="2">
        <v>8.3041999999999998</v>
      </c>
      <c r="F13" s="1">
        <v>0</v>
      </c>
    </row>
    <row r="14" spans="1:9" x14ac:dyDescent="0.7">
      <c r="A14" s="1">
        <v>13</v>
      </c>
      <c r="B14" s="2">
        <v>42.7</v>
      </c>
      <c r="C14" s="2">
        <v>15.5</v>
      </c>
      <c r="D14" s="2">
        <v>5.2478999999999996</v>
      </c>
      <c r="E14" s="2">
        <v>10.162100000000001</v>
      </c>
      <c r="F14" s="1">
        <v>0</v>
      </c>
    </row>
    <row r="15" spans="1:9" x14ac:dyDescent="0.7">
      <c r="A15" s="1">
        <v>14</v>
      </c>
      <c r="B15" s="2">
        <v>40.4</v>
      </c>
      <c r="C15" s="2">
        <v>14.5</v>
      </c>
      <c r="D15" s="2">
        <v>4.6116000000000001</v>
      </c>
      <c r="E15" s="2">
        <v>9.2310999999999996</v>
      </c>
      <c r="F15" s="1">
        <v>0</v>
      </c>
    </row>
    <row r="16" spans="1:9" x14ac:dyDescent="0.7">
      <c r="A16" s="1">
        <v>15</v>
      </c>
      <c r="B16" s="2">
        <v>39.799999999999997</v>
      </c>
      <c r="C16" s="2">
        <v>29.1</v>
      </c>
      <c r="D16" s="2">
        <v>4.6468999999999996</v>
      </c>
      <c r="E16" s="2">
        <v>14.2902</v>
      </c>
      <c r="F16" s="1">
        <v>0</v>
      </c>
    </row>
    <row r="17" spans="1:6" x14ac:dyDescent="0.7">
      <c r="A17" s="1">
        <v>16</v>
      </c>
      <c r="B17" s="2">
        <v>42.1</v>
      </c>
      <c r="C17" s="2">
        <v>15.1</v>
      </c>
      <c r="D17" s="2">
        <v>5.0750999999999999</v>
      </c>
      <c r="E17" s="2">
        <v>9.8572000000000006</v>
      </c>
      <c r="F17" s="1">
        <v>0</v>
      </c>
    </row>
    <row r="18" spans="1:6" x14ac:dyDescent="0.7">
      <c r="A18" s="1">
        <v>17</v>
      </c>
      <c r="B18" s="2">
        <v>38.1</v>
      </c>
      <c r="C18" s="2">
        <v>14.2</v>
      </c>
      <c r="D18" s="2">
        <v>4.0303000000000004</v>
      </c>
      <c r="E18" s="2">
        <v>8.6115999999999993</v>
      </c>
      <c r="F18" s="1">
        <v>1</v>
      </c>
    </row>
    <row r="19" spans="1:6" x14ac:dyDescent="0.7">
      <c r="A19" s="1">
        <v>18</v>
      </c>
      <c r="B19" s="2">
        <v>38.200000000000003</v>
      </c>
      <c r="C19" s="2">
        <v>6.8</v>
      </c>
      <c r="D19" s="2">
        <v>3.8788999999999998</v>
      </c>
      <c r="E19" s="2">
        <v>5.2240000000000002</v>
      </c>
      <c r="F19" s="1">
        <v>0</v>
      </c>
    </row>
    <row r="20" spans="1:6" x14ac:dyDescent="0.7">
      <c r="A20" s="1">
        <v>19</v>
      </c>
      <c r="B20" s="2">
        <v>37.1</v>
      </c>
      <c r="C20" s="2">
        <v>8.4</v>
      </c>
      <c r="D20" s="2">
        <v>3.6743000000000001</v>
      </c>
      <c r="E20" s="2">
        <v>5.8746999999999998</v>
      </c>
      <c r="F20" s="1">
        <v>1</v>
      </c>
    </row>
    <row r="21" spans="1:6" x14ac:dyDescent="0.7">
      <c r="A21" s="1">
        <v>20</v>
      </c>
      <c r="B21" s="2">
        <v>38.6</v>
      </c>
      <c r="C21" s="2">
        <v>9.6</v>
      </c>
      <c r="D21" s="2">
        <v>4.0556000000000001</v>
      </c>
      <c r="E21" s="2">
        <v>6.6919000000000004</v>
      </c>
      <c r="F21" s="1">
        <v>0</v>
      </c>
    </row>
    <row r="22" spans="1:6" x14ac:dyDescent="0.7">
      <c r="A22" s="1">
        <v>21</v>
      </c>
      <c r="B22" s="2">
        <v>44.5</v>
      </c>
      <c r="C22" s="2">
        <v>7.7</v>
      </c>
      <c r="D22" s="2">
        <v>5.5255000000000001</v>
      </c>
      <c r="E22" s="2">
        <v>6.6081000000000003</v>
      </c>
      <c r="F22" s="1">
        <v>0</v>
      </c>
    </row>
    <row r="23" spans="1:6" x14ac:dyDescent="0.7">
      <c r="A23" s="1">
        <v>22</v>
      </c>
      <c r="B23" s="2">
        <v>32.1</v>
      </c>
      <c r="C23" s="2">
        <v>20.7</v>
      </c>
      <c r="D23" s="2">
        <v>2.7801999999999998</v>
      </c>
      <c r="E23" s="2">
        <v>9.4121000000000006</v>
      </c>
      <c r="F23" s="1">
        <v>0</v>
      </c>
    </row>
    <row r="24" spans="1:6" x14ac:dyDescent="0.7">
      <c r="A24" s="1">
        <v>23</v>
      </c>
      <c r="B24" s="2">
        <v>35.1</v>
      </c>
      <c r="C24" s="2">
        <v>17.899999999999999</v>
      </c>
      <c r="D24" s="2">
        <v>3.3866000000000001</v>
      </c>
      <c r="E24" s="2">
        <v>9.2979000000000003</v>
      </c>
      <c r="F24" s="1">
        <v>0</v>
      </c>
    </row>
    <row r="25" spans="1:6" x14ac:dyDescent="0.7">
      <c r="A25" s="1">
        <v>24</v>
      </c>
      <c r="B25" s="2">
        <v>39.4</v>
      </c>
      <c r="C25" s="2">
        <v>20.5</v>
      </c>
      <c r="D25" s="2">
        <v>4.4474</v>
      </c>
      <c r="E25" s="2">
        <v>11.321300000000001</v>
      </c>
      <c r="F25" s="1">
        <v>0</v>
      </c>
    </row>
    <row r="26" spans="1:6" x14ac:dyDescent="0.7">
      <c r="A26" s="1">
        <v>25</v>
      </c>
      <c r="B26" s="2">
        <v>28.2</v>
      </c>
      <c r="C26" s="2">
        <v>13.1</v>
      </c>
      <c r="D26" s="2">
        <v>2.0009000000000001</v>
      </c>
      <c r="E26" s="2">
        <v>6.0998999999999999</v>
      </c>
      <c r="F26" s="1">
        <v>0</v>
      </c>
    </row>
    <row r="27" spans="1:6" x14ac:dyDescent="0.7">
      <c r="A27" s="1">
        <v>26</v>
      </c>
      <c r="B27" s="2">
        <v>36.299999999999997</v>
      </c>
      <c r="C27" s="2">
        <v>16.399999999999999</v>
      </c>
      <c r="D27" s="2">
        <v>3.6391</v>
      </c>
      <c r="E27" s="2">
        <v>9.0553000000000008</v>
      </c>
      <c r="F27" s="1">
        <v>0</v>
      </c>
    </row>
    <row r="28" spans="1:6" x14ac:dyDescent="0.7">
      <c r="A28" s="1">
        <v>27</v>
      </c>
      <c r="B28" s="2">
        <v>24.4</v>
      </c>
      <c r="C28" s="2">
        <v>11.9</v>
      </c>
      <c r="D28" s="2">
        <v>1.4177</v>
      </c>
      <c r="E28" s="2">
        <v>4.9509999999999996</v>
      </c>
      <c r="F28" s="1">
        <v>0</v>
      </c>
    </row>
    <row r="29" spans="1:6" x14ac:dyDescent="0.7">
      <c r="A29" s="1">
        <v>28</v>
      </c>
      <c r="B29" s="2">
        <v>44.8</v>
      </c>
      <c r="C29" s="2">
        <v>7.1</v>
      </c>
      <c r="D29" s="2">
        <v>5.5827999999999998</v>
      </c>
      <c r="E29" s="2">
        <v>6.2919999999999998</v>
      </c>
      <c r="F29" s="1">
        <v>0</v>
      </c>
    </row>
    <row r="30" spans="1:6" x14ac:dyDescent="0.7">
      <c r="A30" s="1">
        <v>29</v>
      </c>
      <c r="B30" s="2">
        <v>41.7</v>
      </c>
      <c r="C30" s="2">
        <v>52.8</v>
      </c>
      <c r="D30" s="2">
        <v>5.3498999999999999</v>
      </c>
      <c r="E30" s="2">
        <v>21.302399999999999</v>
      </c>
      <c r="F30" s="1">
        <v>0</v>
      </c>
    </row>
    <row r="31" spans="1:6" x14ac:dyDescent="0.7">
      <c r="A31" s="1">
        <v>30</v>
      </c>
      <c r="B31" s="2">
        <v>32.200000000000003</v>
      </c>
      <c r="C31" s="2">
        <v>14.5</v>
      </c>
      <c r="D31" s="2">
        <v>2.7403</v>
      </c>
      <c r="E31" s="2">
        <v>7.4352</v>
      </c>
      <c r="F31" s="1">
        <v>0</v>
      </c>
    </row>
    <row r="32" spans="1:6" x14ac:dyDescent="0.7">
      <c r="A32" s="1">
        <v>31</v>
      </c>
      <c r="B32" s="2">
        <v>29.3</v>
      </c>
      <c r="C32" s="2">
        <v>21.6</v>
      </c>
      <c r="D32" s="2">
        <v>2.2555000000000001</v>
      </c>
      <c r="E32" s="2">
        <v>8.8823000000000008</v>
      </c>
      <c r="F32" s="1">
        <v>0</v>
      </c>
    </row>
    <row r="33" spans="1:6" x14ac:dyDescent="0.7">
      <c r="A33" s="1">
        <v>32</v>
      </c>
      <c r="B33" s="2">
        <v>30.2</v>
      </c>
      <c r="C33" s="2">
        <v>10.1</v>
      </c>
      <c r="D33" s="2">
        <v>2.31</v>
      </c>
      <c r="E33" s="2">
        <v>5.4523000000000001</v>
      </c>
      <c r="F33" s="1">
        <v>0</v>
      </c>
    </row>
    <row r="34" spans="1:6" x14ac:dyDescent="0.7">
      <c r="A34" s="1">
        <v>33</v>
      </c>
      <c r="B34" s="2">
        <v>33.1</v>
      </c>
      <c r="C34" s="2">
        <v>15.1</v>
      </c>
      <c r="D34" s="2">
        <v>2.9279000000000002</v>
      </c>
      <c r="E34" s="2">
        <v>7.8468999999999998</v>
      </c>
      <c r="F34" s="1">
        <v>0</v>
      </c>
    </row>
    <row r="35" spans="1:6" x14ac:dyDescent="0.7">
      <c r="A35" s="1">
        <v>34</v>
      </c>
      <c r="B35" s="2">
        <v>35.6</v>
      </c>
      <c r="C35" s="2">
        <v>12.3</v>
      </c>
      <c r="D35" s="2">
        <v>3.4201000000000001</v>
      </c>
      <c r="E35" s="2">
        <v>7.3254999999999999</v>
      </c>
      <c r="F35" s="1">
        <v>0</v>
      </c>
    </row>
    <row r="36" spans="1:6" x14ac:dyDescent="0.7">
      <c r="A36" s="1">
        <v>35</v>
      </c>
      <c r="B36" s="2">
        <v>32</v>
      </c>
      <c r="C36" s="2">
        <v>9.9</v>
      </c>
      <c r="D36" s="2">
        <v>2.6389999999999998</v>
      </c>
      <c r="E36" s="2">
        <v>5.6920000000000002</v>
      </c>
      <c r="F36" s="1">
        <v>0</v>
      </c>
    </row>
    <row r="37" spans="1:6" x14ac:dyDescent="0.7">
      <c r="A37" s="1">
        <v>36</v>
      </c>
      <c r="B37" s="2">
        <v>28.8</v>
      </c>
      <c r="C37" s="2">
        <v>11.3</v>
      </c>
      <c r="D37" s="2">
        <v>2.0825999999999998</v>
      </c>
      <c r="E37" s="2">
        <v>5.6239999999999997</v>
      </c>
      <c r="F37" s="1">
        <v>0</v>
      </c>
    </row>
    <row r="38" spans="1:6" x14ac:dyDescent="0.7">
      <c r="A38" s="1">
        <v>37</v>
      </c>
      <c r="B38" s="2">
        <v>26.5</v>
      </c>
      <c r="C38" s="2">
        <v>13.8</v>
      </c>
      <c r="D38" s="2">
        <v>1.736</v>
      </c>
      <c r="E38" s="2">
        <v>5.9496000000000002</v>
      </c>
      <c r="F38" s="1">
        <v>1</v>
      </c>
    </row>
    <row r="39" spans="1:6" x14ac:dyDescent="0.7">
      <c r="A39" s="1">
        <v>38</v>
      </c>
      <c r="B39" s="2">
        <v>35.299999999999997</v>
      </c>
      <c r="C39" s="2">
        <v>9.3000000000000007</v>
      </c>
      <c r="D39" s="2">
        <v>3.2978999999999998</v>
      </c>
      <c r="E39" s="2">
        <v>6.0019999999999998</v>
      </c>
      <c r="F39" s="1">
        <v>0</v>
      </c>
    </row>
    <row r="40" spans="1:6" x14ac:dyDescent="0.7">
      <c r="A40" s="1">
        <v>39</v>
      </c>
      <c r="B40" s="2">
        <v>41.5</v>
      </c>
      <c r="C40" s="2">
        <v>9.1</v>
      </c>
      <c r="D40" s="2">
        <v>4.7670000000000003</v>
      </c>
      <c r="E40" s="2">
        <v>6.9214000000000002</v>
      </c>
      <c r="F40" s="1">
        <v>0</v>
      </c>
    </row>
    <row r="41" spans="1:6" x14ac:dyDescent="0.7">
      <c r="A41" s="1">
        <v>40</v>
      </c>
      <c r="B41" s="2">
        <v>33.700000000000003</v>
      </c>
      <c r="C41" s="2">
        <v>10.3</v>
      </c>
      <c r="D41" s="2">
        <v>2.9817999999999998</v>
      </c>
      <c r="E41" s="2">
        <v>6.1532999999999998</v>
      </c>
      <c r="F41" s="1">
        <v>0</v>
      </c>
    </row>
    <row r="42" spans="1:6" x14ac:dyDescent="0.7">
      <c r="A42" s="1">
        <v>41</v>
      </c>
      <c r="B42" s="2">
        <v>24.2</v>
      </c>
      <c r="C42" s="2">
        <v>12.5</v>
      </c>
      <c r="D42" s="2">
        <v>1.3948</v>
      </c>
      <c r="E42" s="2">
        <v>5.0818000000000003</v>
      </c>
      <c r="F42" s="1">
        <v>0</v>
      </c>
    </row>
    <row r="43" spans="1:6" x14ac:dyDescent="0.7">
      <c r="A43" s="1">
        <v>42</v>
      </c>
      <c r="B43" s="2">
        <v>24.2</v>
      </c>
      <c r="C43" s="2">
        <v>7.4</v>
      </c>
      <c r="D43" s="2">
        <v>1.3504</v>
      </c>
      <c r="E43" s="2">
        <v>3.5192000000000001</v>
      </c>
      <c r="F43" s="1">
        <v>0</v>
      </c>
    </row>
    <row r="44" spans="1:6" x14ac:dyDescent="0.7">
      <c r="A44" s="1">
        <v>43</v>
      </c>
      <c r="B44" s="2">
        <v>37.9</v>
      </c>
      <c r="C44" s="2">
        <v>10.8</v>
      </c>
      <c r="D44" s="2">
        <v>3.9171</v>
      </c>
      <c r="E44" s="2">
        <v>7.1238000000000001</v>
      </c>
      <c r="F44" s="1">
        <v>1</v>
      </c>
    </row>
    <row r="45" spans="1:6" x14ac:dyDescent="0.7">
      <c r="A45" s="1">
        <v>44</v>
      </c>
      <c r="B45" s="2">
        <v>35.4</v>
      </c>
      <c r="C45" s="2">
        <v>13</v>
      </c>
      <c r="D45" s="2">
        <v>3.3874</v>
      </c>
      <c r="E45" s="2">
        <v>7.5643000000000002</v>
      </c>
      <c r="F45" s="1">
        <v>0</v>
      </c>
    </row>
    <row r="46" spans="1:6" x14ac:dyDescent="0.7">
      <c r="A46" s="1">
        <v>45</v>
      </c>
      <c r="B46" s="2">
        <v>37.200000000000003</v>
      </c>
      <c r="C46" s="2">
        <v>13.9</v>
      </c>
      <c r="D46" s="2">
        <v>3.8109999999999999</v>
      </c>
      <c r="E46" s="2">
        <v>8.2982999999999993</v>
      </c>
      <c r="F46" s="1">
        <v>0</v>
      </c>
    </row>
    <row r="47" spans="1:6" x14ac:dyDescent="0.7">
      <c r="A47" s="1">
        <v>46</v>
      </c>
      <c r="B47" s="2">
        <v>54</v>
      </c>
      <c r="C47" s="2">
        <v>16.2</v>
      </c>
      <c r="D47" s="2">
        <v>8.8516999999999992</v>
      </c>
      <c r="E47" s="2">
        <v>12.978899999999999</v>
      </c>
      <c r="F47" s="1">
        <v>0</v>
      </c>
    </row>
    <row r="48" spans="1:6" x14ac:dyDescent="0.7">
      <c r="A48" s="1">
        <v>47</v>
      </c>
      <c r="B48" s="2">
        <v>26.3</v>
      </c>
      <c r="C48" s="2">
        <v>16.8</v>
      </c>
      <c r="D48" s="2">
        <v>1.7262999999999999</v>
      </c>
      <c r="E48" s="2">
        <v>6.7584999999999997</v>
      </c>
      <c r="F48" s="1">
        <v>0</v>
      </c>
    </row>
    <row r="49" spans="1:6" x14ac:dyDescent="0.7">
      <c r="A49" s="1">
        <v>48</v>
      </c>
      <c r="B49" s="2">
        <v>32.5</v>
      </c>
      <c r="C49" s="2">
        <v>22.9</v>
      </c>
      <c r="D49" s="2">
        <v>2.8786999999999998</v>
      </c>
      <c r="E49" s="2">
        <v>10.178800000000001</v>
      </c>
      <c r="F49" s="1">
        <v>0</v>
      </c>
    </row>
    <row r="50" spans="1:6" x14ac:dyDescent="0.7">
      <c r="A50" s="1">
        <v>49</v>
      </c>
      <c r="B50" s="2">
        <v>27.9</v>
      </c>
      <c r="C50" s="2">
        <v>13.8</v>
      </c>
      <c r="D50" s="2">
        <v>1.9578</v>
      </c>
      <c r="E50" s="2">
        <v>6.2563000000000004</v>
      </c>
      <c r="F50" s="1">
        <v>0</v>
      </c>
    </row>
    <row r="51" spans="1:6" x14ac:dyDescent="0.7">
      <c r="A51" s="1">
        <v>50</v>
      </c>
      <c r="B51" s="2">
        <v>34</v>
      </c>
      <c r="C51" s="2">
        <v>10.9</v>
      </c>
      <c r="D51" s="2">
        <v>3.0539000000000001</v>
      </c>
      <c r="E51" s="2">
        <v>6.4524999999999997</v>
      </c>
      <c r="F51" s="1">
        <v>0</v>
      </c>
    </row>
    <row r="52" spans="1:6" x14ac:dyDescent="0.7">
      <c r="A52" s="1">
        <v>51</v>
      </c>
      <c r="B52" s="2">
        <v>40.299999999999997</v>
      </c>
      <c r="C52" s="2">
        <v>8.3000000000000007</v>
      </c>
      <c r="D52" s="2">
        <v>4.4352999999999998</v>
      </c>
      <c r="E52" s="2">
        <v>6.3169000000000004</v>
      </c>
      <c r="F52" s="1">
        <v>1</v>
      </c>
    </row>
    <row r="53" spans="1:6" x14ac:dyDescent="0.7">
      <c r="A53" s="1">
        <v>52</v>
      </c>
      <c r="B53" s="2">
        <v>28</v>
      </c>
      <c r="C53" s="2">
        <v>8.1</v>
      </c>
      <c r="D53" s="2">
        <v>1.9107000000000001</v>
      </c>
      <c r="E53" s="2">
        <v>4.3385999999999996</v>
      </c>
      <c r="F53" s="1">
        <v>0</v>
      </c>
    </row>
    <row r="54" spans="1:6" x14ac:dyDescent="0.7">
      <c r="A54" s="1">
        <v>53</v>
      </c>
      <c r="B54" s="2">
        <v>35.5</v>
      </c>
      <c r="C54" s="2">
        <v>11.8</v>
      </c>
      <c r="D54" s="2">
        <v>3.3895</v>
      </c>
      <c r="E54" s="2">
        <v>7.1025999999999998</v>
      </c>
      <c r="F54" s="1">
        <v>0</v>
      </c>
    </row>
    <row r="55" spans="1:6" x14ac:dyDescent="0.7">
      <c r="A55" s="1">
        <v>54</v>
      </c>
      <c r="B55" s="2">
        <v>23.1</v>
      </c>
      <c r="C55" s="2">
        <v>11.7</v>
      </c>
      <c r="D55" s="2">
        <v>1.2453000000000001</v>
      </c>
      <c r="E55" s="2">
        <v>4.6346999999999996</v>
      </c>
      <c r="F55" s="1">
        <v>0</v>
      </c>
    </row>
    <row r="56" spans="1:6" x14ac:dyDescent="0.7">
      <c r="A56" s="1">
        <v>55</v>
      </c>
      <c r="B56" s="2">
        <v>32.1</v>
      </c>
      <c r="C56" s="2">
        <v>11.2</v>
      </c>
      <c r="D56" s="2">
        <v>2.6781999999999999</v>
      </c>
      <c r="E56" s="2">
        <v>6.2156000000000002</v>
      </c>
      <c r="F56" s="1">
        <v>0</v>
      </c>
    </row>
    <row r="57" spans="1:6" x14ac:dyDescent="0.7">
      <c r="A57" s="1">
        <v>56</v>
      </c>
      <c r="B57" s="2">
        <v>29.5</v>
      </c>
      <c r="C57" s="2">
        <v>16.100000000000001</v>
      </c>
      <c r="D57" s="2">
        <v>2.2505999999999999</v>
      </c>
      <c r="E57" s="2">
        <v>7.3362999999999996</v>
      </c>
      <c r="F57" s="1">
        <v>0</v>
      </c>
    </row>
    <row r="58" spans="1:6" x14ac:dyDescent="0.7">
      <c r="A58" s="1">
        <v>57</v>
      </c>
      <c r="B58" s="2">
        <v>27.4</v>
      </c>
      <c r="C58" s="2">
        <v>16.3</v>
      </c>
      <c r="D58" s="2">
        <v>1.8962000000000001</v>
      </c>
      <c r="E58" s="2">
        <v>6.8887999999999998</v>
      </c>
      <c r="F58" s="1">
        <v>0</v>
      </c>
    </row>
    <row r="59" spans="1:6" x14ac:dyDescent="0.7">
      <c r="A59" s="1">
        <v>58</v>
      </c>
      <c r="B59" s="2">
        <v>26.8</v>
      </c>
      <c r="C59" s="2">
        <v>9.8000000000000007</v>
      </c>
      <c r="D59" s="2">
        <v>1.7452000000000001</v>
      </c>
      <c r="E59" s="2">
        <v>4.7454999999999998</v>
      </c>
      <c r="F59" s="1">
        <v>0</v>
      </c>
    </row>
    <row r="60" spans="1:6" x14ac:dyDescent="0.7">
      <c r="A60" s="1">
        <v>59</v>
      </c>
      <c r="B60" s="2">
        <v>39.6</v>
      </c>
      <c r="C60" s="2">
        <v>15.5</v>
      </c>
      <c r="D60" s="2">
        <v>4.4242999999999997</v>
      </c>
      <c r="E60" s="2">
        <v>9.4686000000000003</v>
      </c>
      <c r="F60" s="1">
        <v>0</v>
      </c>
    </row>
    <row r="61" spans="1:6" x14ac:dyDescent="0.7">
      <c r="A61" s="1">
        <v>60</v>
      </c>
      <c r="B61" s="2">
        <v>23.9</v>
      </c>
      <c r="C61" s="2">
        <v>6</v>
      </c>
      <c r="D61" s="2">
        <v>1.2945</v>
      </c>
      <c r="E61" s="2">
        <v>2.9956</v>
      </c>
      <c r="F61" s="1">
        <v>0</v>
      </c>
    </row>
    <row r="62" spans="1:6" x14ac:dyDescent="0.7">
      <c r="A62" s="1">
        <v>61</v>
      </c>
      <c r="B62" s="2">
        <v>24.7</v>
      </c>
      <c r="C62" s="2">
        <v>33.1</v>
      </c>
      <c r="D62" s="2">
        <v>1.5539000000000001</v>
      </c>
      <c r="E62" s="2">
        <v>10.0357</v>
      </c>
      <c r="F62" s="1">
        <v>0</v>
      </c>
    </row>
    <row r="63" spans="1:6" x14ac:dyDescent="0.7">
      <c r="A63" s="1">
        <v>62</v>
      </c>
      <c r="B63" s="2">
        <v>27.6</v>
      </c>
      <c r="C63" s="2">
        <v>15</v>
      </c>
      <c r="D63" s="2">
        <v>1.9188000000000001</v>
      </c>
      <c r="E63" s="2">
        <v>6.5548000000000002</v>
      </c>
      <c r="F63" s="1">
        <v>0</v>
      </c>
    </row>
    <row r="64" spans="1:6" x14ac:dyDescent="0.7">
      <c r="A64" s="1">
        <v>63</v>
      </c>
      <c r="B64" s="2">
        <v>32</v>
      </c>
      <c r="C64" s="2">
        <v>11.6</v>
      </c>
      <c r="D64" s="2">
        <v>2.6646000000000001</v>
      </c>
      <c r="E64" s="2">
        <v>6.3476999999999997</v>
      </c>
      <c r="F64" s="1">
        <v>0</v>
      </c>
    </row>
    <row r="65" spans="1:6" x14ac:dyDescent="0.7">
      <c r="A65" s="1">
        <v>64</v>
      </c>
      <c r="B65" s="2">
        <v>28</v>
      </c>
      <c r="C65" s="2">
        <v>18.399999999999999</v>
      </c>
      <c r="D65" s="2">
        <v>2.0093999999999999</v>
      </c>
      <c r="E65" s="2">
        <v>7.6374000000000004</v>
      </c>
      <c r="F65" s="1">
        <v>0</v>
      </c>
    </row>
    <row r="66" spans="1:6" x14ac:dyDescent="0.7">
      <c r="A66" s="1">
        <v>65</v>
      </c>
      <c r="B66" s="2">
        <v>31.1</v>
      </c>
      <c r="C66" s="2">
        <v>36.299999999999997</v>
      </c>
      <c r="D66" s="2">
        <v>2.6737000000000002</v>
      </c>
      <c r="E66" s="2">
        <v>13.1691</v>
      </c>
      <c r="F66" s="1">
        <v>0</v>
      </c>
    </row>
    <row r="67" spans="1:6" x14ac:dyDescent="0.7">
      <c r="A67" s="1">
        <v>66</v>
      </c>
      <c r="B67" s="2">
        <v>31</v>
      </c>
      <c r="C67" s="2">
        <v>23.1</v>
      </c>
      <c r="D67" s="2">
        <v>2.5817000000000001</v>
      </c>
      <c r="E67" s="2">
        <v>9.7942999999999998</v>
      </c>
      <c r="F67" s="1">
        <v>0</v>
      </c>
    </row>
    <row r="68" spans="1:6" x14ac:dyDescent="0.7">
      <c r="A68" s="1">
        <v>67</v>
      </c>
      <c r="B68" s="2">
        <v>33.799999999999997</v>
      </c>
      <c r="C68" s="2">
        <v>8.3000000000000007</v>
      </c>
      <c r="D68" s="2">
        <v>2.9632000000000001</v>
      </c>
      <c r="E68" s="2">
        <v>5.3170000000000002</v>
      </c>
      <c r="F68" s="1">
        <v>0</v>
      </c>
    </row>
    <row r="69" spans="1:6" x14ac:dyDescent="0.7">
      <c r="A69" s="1">
        <v>68</v>
      </c>
      <c r="B69" s="2">
        <v>37.1</v>
      </c>
      <c r="C69" s="2">
        <v>28.6</v>
      </c>
      <c r="D69" s="2">
        <v>3.9556</v>
      </c>
      <c r="E69" s="2">
        <v>13.271699999999999</v>
      </c>
      <c r="F69" s="1">
        <v>1</v>
      </c>
    </row>
    <row r="70" spans="1:6" x14ac:dyDescent="0.7">
      <c r="A70" s="1">
        <v>69</v>
      </c>
      <c r="B70" s="2">
        <v>40.200000000000003</v>
      </c>
      <c r="C70" s="2">
        <v>9</v>
      </c>
      <c r="D70" s="2">
        <v>4.4317000000000002</v>
      </c>
      <c r="E70" s="2">
        <v>6.6608000000000001</v>
      </c>
      <c r="F70" s="1">
        <v>1</v>
      </c>
    </row>
    <row r="71" spans="1:6" x14ac:dyDescent="0.7">
      <c r="A71" s="1">
        <v>70</v>
      </c>
      <c r="B71" s="2">
        <v>29.8</v>
      </c>
      <c r="C71" s="2">
        <v>8</v>
      </c>
      <c r="D71" s="2">
        <v>2.2077</v>
      </c>
      <c r="E71" s="2">
        <v>4.5758000000000001</v>
      </c>
      <c r="F71" s="1">
        <v>0</v>
      </c>
    </row>
    <row r="72" spans="1:6" x14ac:dyDescent="0.7">
      <c r="A72" s="1">
        <v>71</v>
      </c>
      <c r="B72" s="2">
        <v>28.2</v>
      </c>
      <c r="C72" s="2">
        <v>14.3</v>
      </c>
      <c r="D72" s="2">
        <v>2.0116999999999998</v>
      </c>
      <c r="E72" s="2">
        <v>6.4779</v>
      </c>
      <c r="F72" s="1">
        <v>0</v>
      </c>
    </row>
    <row r="73" spans="1:6" x14ac:dyDescent="0.7">
      <c r="A73" s="1">
        <v>72</v>
      </c>
      <c r="B73" s="2">
        <v>31.1</v>
      </c>
      <c r="C73" s="2">
        <v>12</v>
      </c>
      <c r="D73" s="2">
        <v>2.4992000000000001</v>
      </c>
      <c r="E73" s="2">
        <v>6.3189000000000002</v>
      </c>
      <c r="F73" s="1">
        <v>0</v>
      </c>
    </row>
    <row r="74" spans="1:6" x14ac:dyDescent="0.7">
      <c r="A74" s="1">
        <v>73</v>
      </c>
      <c r="B74" s="2">
        <v>27.7</v>
      </c>
      <c r="C74" s="2">
        <v>10.3</v>
      </c>
      <c r="D74" s="2">
        <v>1.891</v>
      </c>
      <c r="E74" s="2">
        <v>5.0758999999999999</v>
      </c>
      <c r="F74" s="1">
        <v>0</v>
      </c>
    </row>
    <row r="75" spans="1:6" x14ac:dyDescent="0.7">
      <c r="A75" s="1">
        <v>74</v>
      </c>
      <c r="B75" s="2">
        <v>16.600000000000001</v>
      </c>
      <c r="C75" s="2">
        <v>17.899999999999999</v>
      </c>
      <c r="D75" s="2">
        <v>0.58640000000000003</v>
      </c>
      <c r="E75" s="2">
        <v>4.4935999999999998</v>
      </c>
      <c r="F75" s="1">
        <v>0</v>
      </c>
    </row>
    <row r="76" spans="1:6" x14ac:dyDescent="0.7">
      <c r="A76" s="1">
        <v>75</v>
      </c>
      <c r="B76" s="2">
        <v>27.1</v>
      </c>
      <c r="C76" s="2">
        <v>13</v>
      </c>
      <c r="D76" s="2">
        <v>1.8225</v>
      </c>
      <c r="E76" s="2">
        <v>5.8362999999999996</v>
      </c>
      <c r="F76" s="1">
        <v>0</v>
      </c>
    </row>
    <row r="77" spans="1:6" x14ac:dyDescent="0.7">
      <c r="A77" s="1">
        <v>76</v>
      </c>
      <c r="B77" s="2">
        <v>31.3</v>
      </c>
      <c r="C77" s="2">
        <v>16.7</v>
      </c>
      <c r="D77" s="2">
        <v>2.5882999999999998</v>
      </c>
      <c r="E77" s="2">
        <v>7.9603000000000002</v>
      </c>
      <c r="F77" s="1">
        <v>0</v>
      </c>
    </row>
    <row r="78" spans="1:6" x14ac:dyDescent="0.7">
      <c r="A78" s="1">
        <v>77</v>
      </c>
      <c r="B78" s="2">
        <v>39.1</v>
      </c>
      <c r="C78" s="2">
        <v>15.1</v>
      </c>
      <c r="D78" s="2">
        <v>4.2914000000000003</v>
      </c>
      <c r="E78" s="2">
        <v>9.1948000000000008</v>
      </c>
      <c r="F78" s="1">
        <v>0</v>
      </c>
    </row>
    <row r="79" spans="1:6" x14ac:dyDescent="0.7">
      <c r="A79" s="1">
        <v>78</v>
      </c>
      <c r="B79" s="2">
        <v>36.200000000000003</v>
      </c>
      <c r="C79" s="2">
        <v>8.8000000000000007</v>
      </c>
      <c r="D79" s="2">
        <v>3.4828000000000001</v>
      </c>
      <c r="E79" s="2">
        <v>5.9219999999999997</v>
      </c>
      <c r="F79" s="1">
        <v>1</v>
      </c>
    </row>
    <row r="80" spans="1:6" x14ac:dyDescent="0.7">
      <c r="A80" s="1">
        <v>79</v>
      </c>
      <c r="B80" s="2">
        <v>36.200000000000003</v>
      </c>
      <c r="C80" s="2">
        <v>13.9</v>
      </c>
      <c r="D80" s="2">
        <v>3.5802</v>
      </c>
      <c r="E80" s="2">
        <v>8.0851000000000006</v>
      </c>
      <c r="F80" s="1">
        <v>0</v>
      </c>
    </row>
    <row r="81" spans="1:6" x14ac:dyDescent="0.7">
      <c r="A81" s="1">
        <v>80</v>
      </c>
      <c r="B81" s="2">
        <v>43.1</v>
      </c>
      <c r="C81" s="2">
        <v>31.3</v>
      </c>
      <c r="D81" s="2">
        <v>5.5869999999999997</v>
      </c>
      <c r="E81" s="2">
        <v>16.040700000000001</v>
      </c>
      <c r="F81" s="1">
        <v>0</v>
      </c>
    </row>
    <row r="82" spans="1:6" x14ac:dyDescent="0.7">
      <c r="A82" s="1">
        <v>81</v>
      </c>
      <c r="B82" s="2">
        <v>29.4</v>
      </c>
      <c r="C82" s="2">
        <v>40.6</v>
      </c>
      <c r="D82" s="2">
        <v>2.3628999999999998</v>
      </c>
      <c r="E82" s="2">
        <v>13.44</v>
      </c>
      <c r="F82" s="1">
        <v>1</v>
      </c>
    </row>
    <row r="83" spans="1:6" x14ac:dyDescent="0.7">
      <c r="A83" s="1">
        <v>82</v>
      </c>
      <c r="B83" s="2">
        <v>26.2</v>
      </c>
      <c r="C83" s="2">
        <v>12.3</v>
      </c>
      <c r="D83" s="2">
        <v>1.6783999999999999</v>
      </c>
      <c r="E83" s="2">
        <v>5.4341999999999997</v>
      </c>
      <c r="F83" s="1">
        <v>0</v>
      </c>
    </row>
    <row r="84" spans="1:6" x14ac:dyDescent="0.7">
      <c r="A84" s="1">
        <v>83</v>
      </c>
      <c r="B84" s="2">
        <v>36.5</v>
      </c>
      <c r="C84" s="2">
        <v>27.3</v>
      </c>
      <c r="D84" s="2">
        <v>3.8001999999999998</v>
      </c>
      <c r="E84" s="2">
        <v>12.695499999999999</v>
      </c>
      <c r="F84" s="1">
        <v>0</v>
      </c>
    </row>
    <row r="85" spans="1:6" x14ac:dyDescent="0.7">
      <c r="A85" s="1">
        <v>84</v>
      </c>
      <c r="B85" s="2">
        <v>31.8</v>
      </c>
      <c r="C85" s="2">
        <v>6.9</v>
      </c>
      <c r="D85" s="2">
        <v>2.5442999999999998</v>
      </c>
      <c r="E85" s="2">
        <v>4.4012000000000002</v>
      </c>
      <c r="F85" s="1">
        <v>1</v>
      </c>
    </row>
    <row r="86" spans="1:6" x14ac:dyDescent="0.7">
      <c r="A86" s="1">
        <v>85</v>
      </c>
      <c r="B86" s="2">
        <v>24.9</v>
      </c>
      <c r="C86" s="2">
        <v>13.9</v>
      </c>
      <c r="D86" s="2">
        <v>1.5011000000000001</v>
      </c>
      <c r="E86" s="2">
        <v>5.6253000000000002</v>
      </c>
      <c r="F86" s="1">
        <v>0</v>
      </c>
    </row>
    <row r="87" spans="1:6" x14ac:dyDescent="0.7">
      <c r="A87" s="1">
        <v>86</v>
      </c>
      <c r="B87" s="2">
        <v>39.6</v>
      </c>
      <c r="C87" s="2">
        <v>6.2</v>
      </c>
      <c r="D87" s="2">
        <v>4.1879999999999997</v>
      </c>
      <c r="E87" s="2">
        <v>5.0765000000000002</v>
      </c>
      <c r="F87" s="1">
        <v>1</v>
      </c>
    </row>
    <row r="88" spans="1:6" x14ac:dyDescent="0.7">
      <c r="A88" s="1">
        <v>87</v>
      </c>
      <c r="B88" s="2">
        <v>31</v>
      </c>
      <c r="C88" s="2">
        <v>15.5</v>
      </c>
      <c r="D88" s="2">
        <v>2.5196000000000001</v>
      </c>
      <c r="E88" s="2">
        <v>7.4996</v>
      </c>
      <c r="F88" s="1">
        <v>0</v>
      </c>
    </row>
    <row r="89" spans="1:6" x14ac:dyDescent="0.7">
      <c r="A89" s="1">
        <v>88</v>
      </c>
      <c r="B89" s="2">
        <v>30.4</v>
      </c>
      <c r="C89" s="2">
        <v>16.600000000000001</v>
      </c>
      <c r="D89" s="2">
        <v>2.4180000000000001</v>
      </c>
      <c r="E89" s="2">
        <v>7.7093999999999996</v>
      </c>
      <c r="F89" s="1">
        <v>0</v>
      </c>
    </row>
    <row r="90" spans="1:6" x14ac:dyDescent="0.7">
      <c r="A90" s="1">
        <v>89</v>
      </c>
      <c r="B90" s="2">
        <v>32.9</v>
      </c>
      <c r="C90" s="2">
        <v>7.5</v>
      </c>
      <c r="D90" s="2">
        <v>2.7669000000000001</v>
      </c>
      <c r="E90" s="2">
        <v>4.8250999999999999</v>
      </c>
      <c r="F90" s="1">
        <v>1</v>
      </c>
    </row>
    <row r="91" spans="1:6" x14ac:dyDescent="0.7">
      <c r="A91" s="1">
        <v>90</v>
      </c>
      <c r="B91" s="2">
        <v>32.4</v>
      </c>
      <c r="C91" s="2">
        <v>11</v>
      </c>
      <c r="D91" s="2">
        <v>2.7334999999999998</v>
      </c>
      <c r="E91" s="2">
        <v>6.1951000000000001</v>
      </c>
      <c r="F91" s="1">
        <v>0</v>
      </c>
    </row>
    <row r="92" spans="1:6" x14ac:dyDescent="0.7">
      <c r="A92" s="1">
        <v>91</v>
      </c>
      <c r="B92" s="2">
        <v>21.9</v>
      </c>
      <c r="C92" s="2">
        <v>13.6</v>
      </c>
      <c r="D92" s="2">
        <v>1.1088</v>
      </c>
      <c r="E92" s="2">
        <v>4.8823999999999996</v>
      </c>
      <c r="F92" s="1">
        <v>0</v>
      </c>
    </row>
    <row r="93" spans="1:6" x14ac:dyDescent="0.7">
      <c r="A93" s="1">
        <v>92</v>
      </c>
      <c r="B93" s="2">
        <v>26.6</v>
      </c>
      <c r="C93" s="2">
        <v>10.5</v>
      </c>
      <c r="D93" s="2">
        <v>1.7221</v>
      </c>
      <c r="E93" s="2">
        <v>4.9423000000000004</v>
      </c>
      <c r="F93" s="8">
        <v>0</v>
      </c>
    </row>
    <row r="94" spans="1:6" x14ac:dyDescent="0.7">
      <c r="A94" s="1">
        <v>93</v>
      </c>
      <c r="B94" s="2">
        <v>32.200000000000003</v>
      </c>
      <c r="C94" s="2">
        <v>10.4</v>
      </c>
      <c r="D94" s="2">
        <v>2.6854</v>
      </c>
      <c r="E94" s="2">
        <v>5.9248000000000003</v>
      </c>
      <c r="F94" s="8">
        <v>0</v>
      </c>
    </row>
    <row r="95" spans="1:6" x14ac:dyDescent="0.7">
      <c r="A95" s="1">
        <v>94</v>
      </c>
      <c r="B95" s="2">
        <v>31.3</v>
      </c>
      <c r="C95" s="2">
        <v>10.7</v>
      </c>
      <c r="D95" s="2">
        <v>2.5190000000000001</v>
      </c>
      <c r="E95" s="2">
        <v>5.8766999999999996</v>
      </c>
      <c r="F95" s="8">
        <v>0</v>
      </c>
    </row>
    <row r="96" spans="1:6" x14ac:dyDescent="0.7">
      <c r="A96" s="1">
        <v>95</v>
      </c>
      <c r="B96" s="2">
        <v>39.1</v>
      </c>
      <c r="C96" s="2">
        <v>10.4</v>
      </c>
      <c r="D96" s="2">
        <v>4.1966000000000001</v>
      </c>
      <c r="E96" s="2">
        <v>7.1555999999999997</v>
      </c>
      <c r="F96" s="8">
        <v>1</v>
      </c>
    </row>
    <row r="97" spans="1:6" x14ac:dyDescent="0.7">
      <c r="A97" s="1">
        <v>96</v>
      </c>
      <c r="B97" s="2">
        <v>43.2</v>
      </c>
      <c r="C97" s="2">
        <v>34.700000000000003</v>
      </c>
      <c r="D97" s="2">
        <v>5.6504000000000003</v>
      </c>
      <c r="E97" s="2">
        <v>17.117699999999999</v>
      </c>
      <c r="F97" s="8">
        <v>0</v>
      </c>
    </row>
    <row r="98" spans="1:6" x14ac:dyDescent="0.7">
      <c r="A98" s="1">
        <v>97</v>
      </c>
      <c r="B98" s="2">
        <v>40.700000000000003</v>
      </c>
      <c r="C98" s="2">
        <v>7.4</v>
      </c>
      <c r="D98" s="2">
        <v>4.5049999999999999</v>
      </c>
      <c r="E98" s="2">
        <v>5.8943000000000003</v>
      </c>
      <c r="F98" s="8">
        <v>0</v>
      </c>
    </row>
    <row r="99" spans="1:6" x14ac:dyDescent="0.7">
      <c r="A99" s="1">
        <v>98</v>
      </c>
      <c r="B99" s="2">
        <v>33.4</v>
      </c>
      <c r="C99" s="2">
        <v>13.2</v>
      </c>
      <c r="D99" s="2">
        <v>2.9651999999999998</v>
      </c>
      <c r="E99" s="2">
        <v>7.2267000000000001</v>
      </c>
      <c r="F99" s="8">
        <v>0</v>
      </c>
    </row>
    <row r="100" spans="1:6" x14ac:dyDescent="0.7">
      <c r="A100" s="1">
        <v>99</v>
      </c>
      <c r="B100" s="2">
        <v>30.9</v>
      </c>
      <c r="C100" s="2">
        <v>22.1</v>
      </c>
      <c r="D100" s="2">
        <v>2.5556000000000001</v>
      </c>
      <c r="E100" s="2">
        <v>9.4829000000000008</v>
      </c>
      <c r="F100" s="8">
        <v>1</v>
      </c>
    </row>
    <row r="101" spans="1:6" x14ac:dyDescent="0.7">
      <c r="A101" s="1">
        <v>100</v>
      </c>
      <c r="B101" s="2">
        <v>25.2</v>
      </c>
      <c r="C101" s="2">
        <v>44.6</v>
      </c>
      <c r="D101" s="2">
        <v>1.6588000000000001</v>
      </c>
      <c r="E101" s="2">
        <v>12.410299999999999</v>
      </c>
      <c r="F101" s="8">
        <v>0</v>
      </c>
    </row>
    <row r="102" spans="1:6" x14ac:dyDescent="0.7">
      <c r="A102" s="1">
        <v>101</v>
      </c>
      <c r="B102" s="2">
        <v>34.700000000000003</v>
      </c>
      <c r="C102" s="2">
        <v>9.1</v>
      </c>
      <c r="D102" s="2">
        <v>3.1659999999999999</v>
      </c>
      <c r="E102" s="2">
        <v>5.8144</v>
      </c>
      <c r="F102" s="8">
        <v>0</v>
      </c>
    </row>
    <row r="103" spans="1:6" x14ac:dyDescent="0.7">
      <c r="A103" s="1">
        <v>102</v>
      </c>
      <c r="B103" s="2">
        <v>35.6</v>
      </c>
      <c r="C103" s="2">
        <v>15.9</v>
      </c>
      <c r="D103" s="2">
        <v>3.4735</v>
      </c>
      <c r="E103" s="2">
        <v>8.7081</v>
      </c>
      <c r="F103" s="8">
        <v>0</v>
      </c>
    </row>
    <row r="104" spans="1:6" x14ac:dyDescent="0.7">
      <c r="A104" s="1">
        <v>103</v>
      </c>
      <c r="B104" s="2">
        <v>33.799999999999997</v>
      </c>
      <c r="C104" s="2">
        <v>8</v>
      </c>
      <c r="D104" s="2">
        <v>2.9565999999999999</v>
      </c>
      <c r="E104" s="2">
        <v>5.1829999999999998</v>
      </c>
      <c r="F104" s="8">
        <v>0</v>
      </c>
    </row>
    <row r="105" spans="1:6" x14ac:dyDescent="0.7">
      <c r="A105" s="1">
        <v>104</v>
      </c>
      <c r="B105" s="2">
        <v>24.8</v>
      </c>
      <c r="C105" s="2">
        <v>5.9</v>
      </c>
      <c r="D105" s="2">
        <v>1.4104000000000001</v>
      </c>
      <c r="E105" s="2">
        <v>3.0724999999999998</v>
      </c>
      <c r="F105" s="8">
        <v>1</v>
      </c>
    </row>
    <row r="106" spans="1:6" x14ac:dyDescent="0.7">
      <c r="A106" s="1">
        <v>105</v>
      </c>
      <c r="B106" s="2">
        <v>43.7</v>
      </c>
      <c r="C106" s="2">
        <v>14</v>
      </c>
      <c r="D106" s="2">
        <v>5.4955999999999996</v>
      </c>
      <c r="E106" s="2">
        <v>9.7109000000000005</v>
      </c>
      <c r="F106" s="8">
        <v>1</v>
      </c>
    </row>
    <row r="107" spans="1:6" x14ac:dyDescent="0.7">
      <c r="A107" s="1">
        <v>106</v>
      </c>
      <c r="B107" s="2">
        <v>22.6</v>
      </c>
      <c r="C107" s="2">
        <v>12.3</v>
      </c>
      <c r="D107" s="2">
        <v>1.1866000000000001</v>
      </c>
      <c r="E107" s="2">
        <v>4.6962999999999999</v>
      </c>
      <c r="F107" s="8">
        <v>0</v>
      </c>
    </row>
    <row r="108" spans="1:6" x14ac:dyDescent="0.7">
      <c r="A108" s="1">
        <v>107</v>
      </c>
      <c r="B108" s="2">
        <v>30.9</v>
      </c>
      <c r="C108" s="2">
        <v>62.9</v>
      </c>
      <c r="D108" s="2">
        <v>2.7238000000000002</v>
      </c>
      <c r="E108" s="2">
        <v>18.386199999999999</v>
      </c>
      <c r="F108" s="8">
        <v>0</v>
      </c>
    </row>
    <row r="109" spans="1:6" x14ac:dyDescent="0.7">
      <c r="A109" s="1">
        <v>108</v>
      </c>
      <c r="B109" s="2">
        <v>32.4</v>
      </c>
      <c r="C109" s="2">
        <v>15.8</v>
      </c>
      <c r="D109" s="2">
        <v>2.7944</v>
      </c>
      <c r="E109" s="2">
        <v>7.9264000000000001</v>
      </c>
      <c r="F109" s="8">
        <v>1</v>
      </c>
    </row>
    <row r="110" spans="1:6" x14ac:dyDescent="0.7">
      <c r="A110" s="1">
        <v>109</v>
      </c>
      <c r="B110" s="2">
        <v>25.4</v>
      </c>
      <c r="C110" s="2">
        <v>15.2</v>
      </c>
      <c r="D110" s="2">
        <v>1.5813999999999999</v>
      </c>
      <c r="E110" s="2">
        <v>6.1003999999999996</v>
      </c>
      <c r="F110" s="8">
        <v>0</v>
      </c>
    </row>
    <row r="111" spans="1:6" x14ac:dyDescent="0.7">
      <c r="A111" s="1">
        <v>110</v>
      </c>
      <c r="B111" s="2">
        <v>28</v>
      </c>
      <c r="C111" s="2">
        <v>10.9</v>
      </c>
      <c r="D111" s="2">
        <v>1.9459</v>
      </c>
      <c r="E111" s="2">
        <v>5.3356000000000003</v>
      </c>
      <c r="F111" s="8">
        <v>0</v>
      </c>
    </row>
    <row r="112" spans="1:6" x14ac:dyDescent="0.7">
      <c r="A112" s="1">
        <v>111</v>
      </c>
      <c r="B112" s="2">
        <v>40.799999999999997</v>
      </c>
      <c r="C112" s="2">
        <v>15.7</v>
      </c>
      <c r="D112" s="2">
        <v>4.7382999999999997</v>
      </c>
      <c r="E112" s="2">
        <v>9.8209</v>
      </c>
      <c r="F112" s="8">
        <v>0</v>
      </c>
    </row>
    <row r="113" spans="1:6" x14ac:dyDescent="0.7">
      <c r="A113" s="1">
        <v>112</v>
      </c>
      <c r="B113" s="2">
        <v>27.3</v>
      </c>
      <c r="C113" s="2">
        <v>12.5</v>
      </c>
      <c r="D113" s="2">
        <v>1.8496999999999999</v>
      </c>
      <c r="E113" s="2">
        <v>5.7215999999999996</v>
      </c>
      <c r="F113" s="8">
        <v>0</v>
      </c>
    </row>
    <row r="114" spans="1:6" x14ac:dyDescent="0.7">
      <c r="A114" s="1">
        <v>113</v>
      </c>
      <c r="B114" s="2">
        <v>31.8</v>
      </c>
      <c r="C114" s="2">
        <v>20.399999999999999</v>
      </c>
      <c r="D114" s="2">
        <v>2.7181000000000002</v>
      </c>
      <c r="E114" s="2">
        <v>9.2391000000000005</v>
      </c>
      <c r="F114" s="8">
        <v>0</v>
      </c>
    </row>
    <row r="115" spans="1:6" x14ac:dyDescent="0.7">
      <c r="A115" s="1">
        <v>114</v>
      </c>
      <c r="B115" s="2">
        <v>24.6</v>
      </c>
      <c r="C115" s="2">
        <v>42.1</v>
      </c>
      <c r="D115" s="2">
        <v>1.5622</v>
      </c>
      <c r="E115" s="2">
        <v>11.697100000000001</v>
      </c>
      <c r="F115" s="8">
        <v>0</v>
      </c>
    </row>
    <row r="116" spans="1:6" x14ac:dyDescent="0.7">
      <c r="A116" s="1">
        <v>115</v>
      </c>
      <c r="B116" s="2">
        <v>30</v>
      </c>
      <c r="C116" s="2">
        <v>11</v>
      </c>
      <c r="D116" s="2">
        <v>2.2865000000000002</v>
      </c>
      <c r="E116" s="2">
        <v>5.7460000000000004</v>
      </c>
      <c r="F116" s="8">
        <v>0</v>
      </c>
    </row>
    <row r="117" spans="1:6" x14ac:dyDescent="0.7">
      <c r="A117" s="1">
        <v>116</v>
      </c>
      <c r="B117" s="2">
        <v>35.299999999999997</v>
      </c>
      <c r="C117" s="2">
        <v>13.5</v>
      </c>
      <c r="D117" s="2">
        <v>3.3731</v>
      </c>
      <c r="E117" s="2">
        <v>7.7386999999999997</v>
      </c>
      <c r="F117" s="8">
        <v>0</v>
      </c>
    </row>
    <row r="118" spans="1:6" x14ac:dyDescent="0.7">
      <c r="A118" s="1">
        <v>117</v>
      </c>
      <c r="B118" s="2">
        <v>33.6</v>
      </c>
      <c r="C118" s="2">
        <v>10.1</v>
      </c>
      <c r="D118" s="2">
        <v>2.9579</v>
      </c>
      <c r="E118" s="2">
        <v>6.0533999999999999</v>
      </c>
      <c r="F118" s="8">
        <v>1</v>
      </c>
    </row>
    <row r="119" spans="1:6" x14ac:dyDescent="0.7">
      <c r="A119" s="1">
        <v>118</v>
      </c>
      <c r="B119" s="2">
        <v>29.2</v>
      </c>
      <c r="C119" s="2">
        <v>8.8000000000000007</v>
      </c>
      <c r="D119" s="2">
        <v>2.1179000000000001</v>
      </c>
      <c r="E119" s="2">
        <v>4.7927999999999997</v>
      </c>
      <c r="F119" s="8">
        <v>0</v>
      </c>
    </row>
    <row r="120" spans="1:6" x14ac:dyDescent="0.7">
      <c r="A120" s="1">
        <v>119</v>
      </c>
      <c r="B120" s="2">
        <v>32.299999999999997</v>
      </c>
      <c r="C120" s="2">
        <v>15.8</v>
      </c>
      <c r="D120" s="2">
        <v>2.7745000000000002</v>
      </c>
      <c r="E120" s="2">
        <v>7.9029999999999996</v>
      </c>
      <c r="F120" s="8">
        <v>0</v>
      </c>
    </row>
    <row r="121" spans="1:6" x14ac:dyDescent="0.7">
      <c r="A121" s="1">
        <v>120</v>
      </c>
      <c r="B121" s="2">
        <v>38.4</v>
      </c>
      <c r="C121" s="2">
        <v>19.600000000000001</v>
      </c>
      <c r="D121" s="2">
        <v>4.1832000000000003</v>
      </c>
      <c r="E121" s="2">
        <v>10.736599999999999</v>
      </c>
      <c r="F121" s="8">
        <v>0</v>
      </c>
    </row>
    <row r="122" spans="1:6" x14ac:dyDescent="0.7">
      <c r="A122" s="1">
        <v>121</v>
      </c>
      <c r="B122" s="2">
        <v>24.9</v>
      </c>
      <c r="C122" s="2">
        <v>15.9</v>
      </c>
      <c r="D122" s="2">
        <v>1.5136000000000001</v>
      </c>
      <c r="E122" s="2">
        <v>6.1711</v>
      </c>
      <c r="F122" s="8">
        <v>0</v>
      </c>
    </row>
    <row r="123" spans="1:6" x14ac:dyDescent="0.7">
      <c r="A123" s="1">
        <v>122</v>
      </c>
      <c r="B123" s="2">
        <v>28.2</v>
      </c>
      <c r="C123" s="2">
        <v>9.3000000000000007</v>
      </c>
      <c r="D123" s="2">
        <v>1.9593</v>
      </c>
      <c r="E123" s="2">
        <v>4.8120000000000003</v>
      </c>
      <c r="F123" s="8">
        <v>0</v>
      </c>
    </row>
    <row r="124" spans="1:6" x14ac:dyDescent="0.7">
      <c r="A124" s="1">
        <v>123</v>
      </c>
      <c r="B124" s="2">
        <v>28.3</v>
      </c>
      <c r="C124" s="2">
        <v>14.2</v>
      </c>
      <c r="D124" s="2">
        <v>2.0274999999999999</v>
      </c>
      <c r="E124" s="2">
        <v>6.4691000000000001</v>
      </c>
      <c r="F124" s="8">
        <v>0</v>
      </c>
    </row>
    <row r="125" spans="1:6" x14ac:dyDescent="0.7">
      <c r="A125" s="1">
        <v>124</v>
      </c>
      <c r="B125" s="2">
        <v>38.6</v>
      </c>
      <c r="C125" s="2">
        <v>16.7</v>
      </c>
      <c r="D125" s="2">
        <v>4.1925999999999997</v>
      </c>
      <c r="E125" s="2">
        <v>9.7111999999999998</v>
      </c>
      <c r="F125" s="8">
        <v>1</v>
      </c>
    </row>
    <row r="126" spans="1:6" x14ac:dyDescent="0.7">
      <c r="A126" s="1">
        <v>125</v>
      </c>
      <c r="B126" s="2">
        <v>32.299999999999997</v>
      </c>
      <c r="C126" s="2">
        <v>10.8</v>
      </c>
      <c r="D126" s="2">
        <v>2.7109999999999999</v>
      </c>
      <c r="E126" s="2">
        <v>6.0991</v>
      </c>
      <c r="F126" s="8">
        <v>0</v>
      </c>
    </row>
    <row r="127" spans="1:6" x14ac:dyDescent="0.7">
      <c r="A127" s="1">
        <v>126</v>
      </c>
      <c r="B127" s="2">
        <v>33.9</v>
      </c>
      <c r="C127" s="2">
        <v>7.9</v>
      </c>
      <c r="D127" s="2">
        <v>2.9744999999999999</v>
      </c>
      <c r="E127" s="2">
        <v>5.1528999999999998</v>
      </c>
      <c r="F127" s="8">
        <v>1</v>
      </c>
    </row>
    <row r="128" spans="1:6" x14ac:dyDescent="0.7">
      <c r="A128" s="1">
        <v>127</v>
      </c>
      <c r="B128" s="2">
        <v>50.9</v>
      </c>
      <c r="C128" s="2">
        <v>16.600000000000001</v>
      </c>
      <c r="D128" s="2">
        <v>7.7911999999999999</v>
      </c>
      <c r="E128" s="2">
        <v>12.494</v>
      </c>
      <c r="F128" s="8">
        <v>1</v>
      </c>
    </row>
    <row r="129" spans="1:6" x14ac:dyDescent="0.7">
      <c r="A129" s="1">
        <v>128</v>
      </c>
      <c r="B129" s="2">
        <v>27.2</v>
      </c>
      <c r="C129" s="2">
        <v>7.5</v>
      </c>
      <c r="D129" s="2">
        <v>1.7771999999999999</v>
      </c>
      <c r="E129" s="2">
        <v>3.9935</v>
      </c>
      <c r="F129" s="8">
        <v>0</v>
      </c>
    </row>
    <row r="130" spans="1:6" x14ac:dyDescent="0.7">
      <c r="A130" s="1">
        <v>129</v>
      </c>
      <c r="B130" s="2">
        <v>36.299999999999997</v>
      </c>
      <c r="C130" s="2">
        <v>11.1</v>
      </c>
      <c r="D130" s="2">
        <v>3.5543999999999998</v>
      </c>
      <c r="E130" s="2">
        <v>6.9615</v>
      </c>
      <c r="F130" s="8">
        <v>0</v>
      </c>
    </row>
    <row r="131" spans="1:6" x14ac:dyDescent="0.7">
      <c r="A131" s="1">
        <v>130</v>
      </c>
      <c r="B131" s="2">
        <v>31.4</v>
      </c>
      <c r="C131" s="2">
        <v>22.7</v>
      </c>
      <c r="D131" s="2">
        <v>2.6568000000000001</v>
      </c>
      <c r="E131" s="2">
        <v>9.7990999999999993</v>
      </c>
      <c r="F131" s="8">
        <v>0</v>
      </c>
    </row>
    <row r="132" spans="1:6" x14ac:dyDescent="0.7">
      <c r="A132" s="1">
        <v>131</v>
      </c>
      <c r="B132" s="2">
        <v>25.9</v>
      </c>
      <c r="C132" s="2">
        <v>21.2</v>
      </c>
      <c r="D132" s="2">
        <v>1.6895</v>
      </c>
      <c r="E132" s="2">
        <v>7.7984</v>
      </c>
      <c r="F132" s="8">
        <v>0</v>
      </c>
    </row>
    <row r="133" spans="1:6" x14ac:dyDescent="0.7">
      <c r="A133" s="1">
        <v>132</v>
      </c>
      <c r="B133" s="2">
        <v>38.6</v>
      </c>
      <c r="C133" s="2">
        <v>12.1</v>
      </c>
      <c r="D133" s="2">
        <v>4.1123000000000003</v>
      </c>
      <c r="E133" s="2">
        <v>7.8305999999999996</v>
      </c>
      <c r="F133" s="8">
        <v>0</v>
      </c>
    </row>
    <row r="134" spans="1:6" x14ac:dyDescent="0.7">
      <c r="A134" s="1">
        <v>133</v>
      </c>
      <c r="B134" s="2">
        <v>34.6</v>
      </c>
      <c r="C134" s="2">
        <v>11.5</v>
      </c>
      <c r="D134" s="2">
        <v>3.19</v>
      </c>
      <c r="E134" s="2">
        <v>6.8078000000000003</v>
      </c>
      <c r="F134" s="8">
        <v>0</v>
      </c>
    </row>
    <row r="135" spans="1:6" x14ac:dyDescent="0.7">
      <c r="A135" s="1">
        <v>134</v>
      </c>
      <c r="B135" s="2">
        <v>31</v>
      </c>
      <c r="C135" s="2">
        <v>15.1</v>
      </c>
      <c r="D135" s="2">
        <v>2.5156000000000001</v>
      </c>
      <c r="E135" s="2">
        <v>7.3680000000000003</v>
      </c>
      <c r="F135" s="8">
        <v>0</v>
      </c>
    </row>
    <row r="136" spans="1:6" x14ac:dyDescent="0.7">
      <c r="A136" s="1">
        <v>135</v>
      </c>
      <c r="B136" s="2">
        <v>36.6</v>
      </c>
      <c r="C136" s="2">
        <v>16.5</v>
      </c>
      <c r="D136" s="2">
        <v>3.7098</v>
      </c>
      <c r="E136" s="2">
        <v>9.1630000000000003</v>
      </c>
      <c r="F136" s="8">
        <v>0</v>
      </c>
    </row>
    <row r="137" spans="1:6" x14ac:dyDescent="0.7">
      <c r="A137" s="1">
        <v>136</v>
      </c>
      <c r="B137" s="9">
        <v>36.6</v>
      </c>
      <c r="C137" s="2">
        <v>13.5</v>
      </c>
      <c r="D137" s="2">
        <v>3.6652</v>
      </c>
      <c r="E137" s="2">
        <v>8.0114999999999998</v>
      </c>
      <c r="F137" s="10">
        <v>0</v>
      </c>
    </row>
    <row r="138" spans="1:6" x14ac:dyDescent="0.7">
      <c r="A138" s="1">
        <v>137</v>
      </c>
      <c r="B138" s="9">
        <v>28.7</v>
      </c>
      <c r="C138" s="9">
        <v>7.2</v>
      </c>
      <c r="D138" s="9">
        <v>2.0095000000000001</v>
      </c>
      <c r="E138" s="9">
        <v>4.0941999999999998</v>
      </c>
      <c r="F138" s="10">
        <v>1</v>
      </c>
    </row>
    <row r="139" spans="1:6" x14ac:dyDescent="0.7">
      <c r="A139" s="1">
        <v>138</v>
      </c>
      <c r="B139" s="2">
        <v>27.7</v>
      </c>
      <c r="C139" s="2">
        <v>21</v>
      </c>
      <c r="D139" s="2">
        <v>1.9755</v>
      </c>
      <c r="E139" s="2">
        <v>8.2631999999999994</v>
      </c>
      <c r="F139" s="1">
        <v>0</v>
      </c>
    </row>
    <row r="140" spans="1:6" x14ac:dyDescent="0.7">
      <c r="A140" s="1">
        <v>139</v>
      </c>
      <c r="B140" s="2">
        <v>48.8</v>
      </c>
      <c r="C140" s="2">
        <v>11.8</v>
      </c>
      <c r="D140" s="2">
        <v>6.9610000000000003</v>
      </c>
      <c r="E140" s="2">
        <v>9.6205999999999996</v>
      </c>
      <c r="F140" s="1">
        <v>0</v>
      </c>
    </row>
    <row r="141" spans="1:6" x14ac:dyDescent="0.7">
      <c r="A141" s="1">
        <v>140</v>
      </c>
      <c r="B141" s="2">
        <v>38.299999999999997</v>
      </c>
      <c r="C141" s="2">
        <v>7.4</v>
      </c>
      <c r="D141" s="2">
        <v>3.9220999999999999</v>
      </c>
      <c r="E141" s="2">
        <v>5.5533000000000001</v>
      </c>
      <c r="F141" s="1">
        <v>0</v>
      </c>
    </row>
    <row r="142" spans="1:6" x14ac:dyDescent="0.7">
      <c r="A142" s="1">
        <v>141</v>
      </c>
      <c r="B142" s="2">
        <v>32.799999999999997</v>
      </c>
      <c r="C142" s="2">
        <v>16.3</v>
      </c>
      <c r="D142" s="2">
        <v>2.8803000000000001</v>
      </c>
      <c r="E142" s="2">
        <v>8.1898999999999997</v>
      </c>
      <c r="F142" s="1">
        <v>0</v>
      </c>
    </row>
    <row r="143" spans="1:6" x14ac:dyDescent="0.7">
      <c r="A143" s="1">
        <v>142</v>
      </c>
      <c r="B143" s="2">
        <v>21.1</v>
      </c>
      <c r="C143" s="2">
        <v>26.4</v>
      </c>
      <c r="D143" s="2">
        <v>1.0584</v>
      </c>
      <c r="E143" s="2">
        <v>7.4284999999999997</v>
      </c>
      <c r="F143" s="1">
        <v>0</v>
      </c>
    </row>
    <row r="144" spans="1:6" x14ac:dyDescent="0.7">
      <c r="A144" s="1">
        <v>143</v>
      </c>
      <c r="B144" s="2">
        <v>46.2</v>
      </c>
      <c r="C144" s="2">
        <v>20.2</v>
      </c>
      <c r="D144" s="2">
        <v>6.3605</v>
      </c>
      <c r="E144" s="2">
        <v>12.970800000000001</v>
      </c>
      <c r="F144" s="1">
        <v>0</v>
      </c>
    </row>
    <row r="145" spans="1:6" x14ac:dyDescent="0.7">
      <c r="A145" s="1">
        <v>144</v>
      </c>
      <c r="B145" s="2">
        <v>59.3</v>
      </c>
      <c r="C145" s="2">
        <v>45.7</v>
      </c>
      <c r="D145" s="2">
        <v>11.464700000000001</v>
      </c>
      <c r="E145" s="2">
        <v>25.993400000000001</v>
      </c>
      <c r="F145" s="1">
        <v>0</v>
      </c>
    </row>
    <row r="146" spans="1:6" x14ac:dyDescent="0.7">
      <c r="A146" s="1">
        <v>145</v>
      </c>
      <c r="B146" s="2">
        <v>36.700000000000003</v>
      </c>
      <c r="C146" s="2">
        <v>6.5</v>
      </c>
      <c r="D146" s="2">
        <v>3.5289999999999999</v>
      </c>
      <c r="E146" s="2">
        <v>4.8662999999999998</v>
      </c>
      <c r="F146" s="1">
        <v>1</v>
      </c>
    </row>
    <row r="147" spans="1:6" x14ac:dyDescent="0.7">
      <c r="A147" s="1">
        <v>146</v>
      </c>
      <c r="B147" s="2">
        <v>30</v>
      </c>
      <c r="C147" s="2">
        <v>21.5</v>
      </c>
      <c r="D147" s="2">
        <v>2.3820999999999999</v>
      </c>
      <c r="E147" s="2">
        <v>9.0549999999999997</v>
      </c>
      <c r="F147" s="1">
        <v>0</v>
      </c>
    </row>
    <row r="148" spans="1:6" x14ac:dyDescent="0.7">
      <c r="A148" s="1">
        <v>147</v>
      </c>
      <c r="B148" s="2">
        <v>28.3</v>
      </c>
      <c r="C148" s="2">
        <v>7.5</v>
      </c>
      <c r="D148" s="2">
        <v>1.9496</v>
      </c>
      <c r="E148" s="2">
        <v>4.1546000000000003</v>
      </c>
      <c r="F148" s="1">
        <v>0</v>
      </c>
    </row>
    <row r="149" spans="1:6" x14ac:dyDescent="0.7">
      <c r="A149" s="1">
        <v>148</v>
      </c>
      <c r="B149" s="2">
        <v>35</v>
      </c>
      <c r="C149" s="2">
        <v>35.5</v>
      </c>
      <c r="D149" s="2">
        <v>3.5066000000000002</v>
      </c>
      <c r="E149" s="2">
        <v>14.436</v>
      </c>
      <c r="F149" s="1">
        <v>0</v>
      </c>
    </row>
    <row r="150" spans="1:6" x14ac:dyDescent="0.7">
      <c r="A150" s="1">
        <v>149</v>
      </c>
      <c r="B150" s="2">
        <v>28.2</v>
      </c>
      <c r="C150" s="2">
        <v>11.5</v>
      </c>
      <c r="D150" s="2">
        <v>1.9850000000000001</v>
      </c>
      <c r="E150" s="2">
        <v>5.5761000000000003</v>
      </c>
      <c r="F150" s="1">
        <v>0</v>
      </c>
    </row>
    <row r="151" spans="1:6" x14ac:dyDescent="0.7">
      <c r="B151" s="1" t="s">
        <v>44</v>
      </c>
      <c r="C151" s="1" t="s">
        <v>65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sqref="A1:XFD1048576"/>
    </sheetView>
  </sheetViews>
  <sheetFormatPr defaultRowHeight="17.649999999999999" x14ac:dyDescent="0.7"/>
  <cols>
    <col min="1" max="2" width="9" style="1"/>
    <col min="3" max="8" width="8.8125" style="1" customWidth="1"/>
    <col min="9" max="9" width="10.875" style="1" customWidth="1"/>
    <col min="10" max="15" width="12.1875" style="1" customWidth="1"/>
    <col min="16" max="16" width="70.5" style="1" bestFit="1" customWidth="1"/>
    <col min="17" max="17" width="22.375" style="1" customWidth="1"/>
    <col min="18" max="18" width="9" style="1"/>
    <col min="19" max="19" width="17.5" style="1" bestFit="1" customWidth="1"/>
    <col min="20" max="20" width="9" style="1"/>
    <col min="21" max="21" width="17.5" style="1" bestFit="1" customWidth="1"/>
    <col min="22" max="16384" width="9" style="1"/>
  </cols>
  <sheetData>
    <row r="1" spans="1:21" x14ac:dyDescent="0.7">
      <c r="A1" s="1" t="s">
        <v>0</v>
      </c>
      <c r="B1" s="1" t="s">
        <v>66</v>
      </c>
      <c r="C1" s="1" t="s">
        <v>13</v>
      </c>
      <c r="D1" s="1" t="s">
        <v>67</v>
      </c>
      <c r="E1" s="1" t="s">
        <v>68</v>
      </c>
      <c r="F1" s="1" t="s">
        <v>69</v>
      </c>
      <c r="G1" s="1" t="s">
        <v>4</v>
      </c>
      <c r="H1" s="1" t="s">
        <v>5</v>
      </c>
      <c r="I1" s="1" t="s">
        <v>10</v>
      </c>
      <c r="J1" s="1" t="s">
        <v>9</v>
      </c>
      <c r="K1" s="1" t="s">
        <v>72</v>
      </c>
      <c r="L1" s="1" t="s">
        <v>92</v>
      </c>
      <c r="M1" s="1" t="s">
        <v>93</v>
      </c>
      <c r="N1" s="1" t="s">
        <v>97</v>
      </c>
      <c r="O1" s="1" t="s">
        <v>96</v>
      </c>
      <c r="P1" s="1" t="s">
        <v>106</v>
      </c>
      <c r="Q1" s="1" t="s">
        <v>104</v>
      </c>
      <c r="R1" s="1" t="s">
        <v>6</v>
      </c>
      <c r="S1" s="1" t="s">
        <v>1</v>
      </c>
    </row>
    <row r="2" spans="1:21" x14ac:dyDescent="0.7">
      <c r="G2" s="1" t="s">
        <v>44</v>
      </c>
      <c r="H2" s="1" t="s">
        <v>65</v>
      </c>
    </row>
    <row r="3" spans="1:21" x14ac:dyDescent="0.7">
      <c r="A3" s="1">
        <v>1</v>
      </c>
      <c r="B3" s="1">
        <v>32</v>
      </c>
      <c r="C3" s="4">
        <v>1.54</v>
      </c>
      <c r="D3" s="5">
        <v>46</v>
      </c>
      <c r="E3" s="1">
        <f>D3/C3/C3</f>
        <v>19.396188227357058</v>
      </c>
      <c r="F3" s="1">
        <v>0</v>
      </c>
      <c r="G3" s="2">
        <v>30.8</v>
      </c>
      <c r="H3" s="2">
        <v>78.8</v>
      </c>
      <c r="I3" s="2">
        <v>2.7408000000000001</v>
      </c>
      <c r="J3" s="2">
        <v>20.935700000000001</v>
      </c>
      <c r="K3" s="2"/>
      <c r="L3" s="2"/>
      <c r="M3" s="2"/>
      <c r="N3" s="2"/>
      <c r="O3" s="2"/>
      <c r="P3" s="2" t="s">
        <v>105</v>
      </c>
      <c r="Q3" s="2"/>
      <c r="R3" s="1">
        <v>1</v>
      </c>
      <c r="S3" s="1">
        <v>0</v>
      </c>
    </row>
    <row r="4" spans="1:21" x14ac:dyDescent="0.7">
      <c r="A4" s="1">
        <v>2</v>
      </c>
      <c r="B4" s="1">
        <v>44</v>
      </c>
      <c r="C4" s="4">
        <v>1.61</v>
      </c>
      <c r="D4" s="5">
        <v>67.900000000000006</v>
      </c>
      <c r="E4" s="1">
        <f t="shared" ref="E4:E26" si="0">D4/C4/C4</f>
        <v>26.194977045638673</v>
      </c>
      <c r="F4" s="1">
        <v>2</v>
      </c>
      <c r="G4" s="2">
        <v>66.8</v>
      </c>
      <c r="H4" s="2">
        <v>65.599999999999994</v>
      </c>
      <c r="I4" s="2">
        <v>14.956</v>
      </c>
      <c r="J4" s="2">
        <v>34.122300000000003</v>
      </c>
      <c r="K4" s="2" t="s">
        <v>74</v>
      </c>
      <c r="L4" s="2" t="s">
        <v>94</v>
      </c>
      <c r="M4" s="2"/>
      <c r="N4" s="2"/>
      <c r="O4" s="2" t="s">
        <v>75</v>
      </c>
      <c r="P4" s="2" t="s">
        <v>73</v>
      </c>
      <c r="Q4" s="6" t="s">
        <v>100</v>
      </c>
      <c r="R4" s="1">
        <v>0</v>
      </c>
      <c r="S4" s="1">
        <v>0</v>
      </c>
      <c r="U4" s="1" t="s">
        <v>6</v>
      </c>
    </row>
    <row r="5" spans="1:21" x14ac:dyDescent="0.7">
      <c r="A5" s="1">
        <v>3</v>
      </c>
      <c r="B5" s="1">
        <v>46</v>
      </c>
      <c r="C5" s="4">
        <v>1.6</v>
      </c>
      <c r="D5" s="5">
        <v>73</v>
      </c>
      <c r="E5" s="1">
        <f t="shared" si="0"/>
        <v>28.515625</v>
      </c>
      <c r="F5" s="1">
        <v>3</v>
      </c>
      <c r="G5" s="2">
        <v>239.3</v>
      </c>
      <c r="H5" s="2">
        <v>113.3</v>
      </c>
      <c r="I5" s="2">
        <v>79.134799999999998</v>
      </c>
      <c r="J5" s="2">
        <v>74.444800000000001</v>
      </c>
      <c r="L5" s="2" t="s">
        <v>94</v>
      </c>
      <c r="M5" s="2" t="s">
        <v>95</v>
      </c>
      <c r="N5" s="2"/>
      <c r="O5" s="2"/>
      <c r="P5" s="2" t="s">
        <v>76</v>
      </c>
      <c r="Q5" s="6" t="s">
        <v>101</v>
      </c>
      <c r="R5" s="1">
        <v>0</v>
      </c>
      <c r="S5" s="1">
        <v>0</v>
      </c>
      <c r="U5" s="1" t="s">
        <v>7</v>
      </c>
    </row>
    <row r="6" spans="1:21" x14ac:dyDescent="0.7">
      <c r="A6" s="1">
        <v>4</v>
      </c>
      <c r="B6" s="1">
        <v>53</v>
      </c>
      <c r="C6" s="4">
        <v>1.58</v>
      </c>
      <c r="D6" s="5">
        <v>58</v>
      </c>
      <c r="E6" s="1">
        <f t="shared" si="0"/>
        <v>23.233456176894727</v>
      </c>
      <c r="F6" s="1">
        <v>3</v>
      </c>
      <c r="G6" s="2">
        <v>318.3</v>
      </c>
      <c r="H6" s="2">
        <v>2482.9</v>
      </c>
      <c r="I6" s="2">
        <v>90.072299999999998</v>
      </c>
      <c r="J6" s="2">
        <v>97.406000000000006</v>
      </c>
      <c r="K6" s="2" t="s">
        <v>77</v>
      </c>
      <c r="L6" s="2"/>
      <c r="M6" s="2" t="s">
        <v>95</v>
      </c>
      <c r="N6" s="2"/>
      <c r="O6" s="2"/>
      <c r="P6" s="2" t="s">
        <v>78</v>
      </c>
      <c r="Q6" s="2"/>
      <c r="R6" s="1">
        <v>0</v>
      </c>
      <c r="S6" s="1">
        <v>0</v>
      </c>
      <c r="U6" s="1" t="s">
        <v>8</v>
      </c>
    </row>
    <row r="7" spans="1:21" x14ac:dyDescent="0.7">
      <c r="A7" s="1">
        <v>5</v>
      </c>
      <c r="B7" s="1">
        <v>52</v>
      </c>
      <c r="C7" s="4">
        <v>1.56</v>
      </c>
      <c r="D7" s="5">
        <v>45</v>
      </c>
      <c r="E7" s="1">
        <f t="shared" si="0"/>
        <v>18.491124260355029</v>
      </c>
      <c r="F7" s="1">
        <v>2</v>
      </c>
      <c r="G7" s="2">
        <v>56.2</v>
      </c>
      <c r="H7" s="2">
        <v>22.4</v>
      </c>
      <c r="I7" s="2">
        <v>9.8274000000000008</v>
      </c>
      <c r="J7" s="2">
        <v>16.464099999999998</v>
      </c>
      <c r="K7" s="2"/>
      <c r="L7" s="2"/>
      <c r="M7" s="2"/>
      <c r="N7" s="2"/>
      <c r="O7" s="2"/>
      <c r="P7" s="2" t="s">
        <v>108</v>
      </c>
      <c r="Q7" s="2"/>
      <c r="R7" s="1">
        <v>1</v>
      </c>
      <c r="S7" s="1">
        <v>1</v>
      </c>
    </row>
    <row r="8" spans="1:21" x14ac:dyDescent="0.7">
      <c r="A8" s="1">
        <v>6</v>
      </c>
      <c r="B8" s="1">
        <v>81</v>
      </c>
      <c r="C8" s="4">
        <v>1.43</v>
      </c>
      <c r="D8" s="5">
        <v>47.6</v>
      </c>
      <c r="E8" s="1">
        <f t="shared" si="0"/>
        <v>23.27742187882048</v>
      </c>
      <c r="F8" s="1">
        <v>1</v>
      </c>
      <c r="G8" s="2">
        <v>144.19999999999999</v>
      </c>
      <c r="H8" s="2">
        <v>51.9</v>
      </c>
      <c r="I8" s="2">
        <v>51.966099999999997</v>
      </c>
      <c r="J8" s="2">
        <v>49.273800000000001</v>
      </c>
      <c r="K8" s="2"/>
      <c r="L8" s="2"/>
      <c r="M8" s="2"/>
      <c r="N8" s="2"/>
      <c r="O8" s="2"/>
      <c r="P8" s="2" t="s">
        <v>110</v>
      </c>
      <c r="Q8" s="2"/>
      <c r="R8" s="1">
        <v>1</v>
      </c>
      <c r="S8" s="1">
        <v>1</v>
      </c>
    </row>
    <row r="9" spans="1:21" x14ac:dyDescent="0.7">
      <c r="A9" s="1">
        <v>7</v>
      </c>
      <c r="B9" s="1">
        <v>47</v>
      </c>
      <c r="C9" s="4">
        <v>1.61</v>
      </c>
      <c r="D9" s="5">
        <v>71</v>
      </c>
      <c r="E9" s="1">
        <f t="shared" si="0"/>
        <v>27.390918560240728</v>
      </c>
      <c r="F9" s="1">
        <v>2</v>
      </c>
      <c r="G9" s="2">
        <v>32.6</v>
      </c>
      <c r="H9" s="2">
        <v>20.399999999999999</v>
      </c>
      <c r="I9" s="2">
        <v>2.8788999999999998</v>
      </c>
      <c r="J9" s="2">
        <v>9.4581</v>
      </c>
      <c r="K9" s="2"/>
      <c r="L9" s="2"/>
      <c r="M9" s="2"/>
      <c r="N9" s="2"/>
      <c r="O9" s="2"/>
      <c r="P9" s="2" t="s">
        <v>112</v>
      </c>
      <c r="Q9" s="2"/>
      <c r="R9" s="1">
        <v>1</v>
      </c>
      <c r="S9" s="1">
        <v>0</v>
      </c>
    </row>
    <row r="10" spans="1:21" x14ac:dyDescent="0.7">
      <c r="A10" s="1">
        <v>8</v>
      </c>
      <c r="B10" s="1">
        <v>47</v>
      </c>
      <c r="C10" s="4">
        <v>1.54</v>
      </c>
      <c r="D10" s="5">
        <v>72</v>
      </c>
      <c r="E10" s="1">
        <f t="shared" si="0"/>
        <v>30.359251138471915</v>
      </c>
      <c r="F10" s="1">
        <v>3</v>
      </c>
      <c r="G10" s="2">
        <v>37.5</v>
      </c>
      <c r="H10" s="2">
        <v>12.6</v>
      </c>
      <c r="I10" s="2">
        <v>3.8588</v>
      </c>
      <c r="J10" s="2">
        <v>7.8274999999999997</v>
      </c>
      <c r="K10" s="2"/>
      <c r="L10" s="2"/>
      <c r="M10" s="2"/>
      <c r="N10" s="2"/>
      <c r="O10" s="2"/>
      <c r="P10" s="2" t="s">
        <v>109</v>
      </c>
      <c r="Q10" s="2"/>
      <c r="R10" s="1">
        <v>1</v>
      </c>
      <c r="S10" s="1">
        <v>0</v>
      </c>
    </row>
    <row r="11" spans="1:21" x14ac:dyDescent="0.7">
      <c r="A11" s="1">
        <v>9</v>
      </c>
      <c r="B11" s="1">
        <v>25</v>
      </c>
      <c r="C11" s="4">
        <v>1.49</v>
      </c>
      <c r="D11" s="5">
        <v>45</v>
      </c>
      <c r="E11" s="1">
        <f t="shared" si="0"/>
        <v>20.269357236160534</v>
      </c>
      <c r="F11" s="1">
        <v>0</v>
      </c>
      <c r="G11" s="2">
        <v>35.5</v>
      </c>
      <c r="H11" s="2">
        <v>54.1</v>
      </c>
      <c r="I11" s="2">
        <v>3.7159</v>
      </c>
      <c r="J11" s="2">
        <v>18.901900000000001</v>
      </c>
      <c r="K11" s="2"/>
      <c r="L11" s="2"/>
      <c r="M11" s="2"/>
      <c r="N11" s="2"/>
      <c r="O11" s="2"/>
      <c r="P11" s="2" t="s">
        <v>116</v>
      </c>
      <c r="Q11" s="2"/>
      <c r="R11" s="1">
        <v>1</v>
      </c>
      <c r="S11" s="1">
        <v>0</v>
      </c>
    </row>
    <row r="12" spans="1:21" x14ac:dyDescent="0.7">
      <c r="A12" s="1">
        <v>10</v>
      </c>
      <c r="B12" s="1">
        <v>58</v>
      </c>
      <c r="C12" s="4">
        <v>1.55</v>
      </c>
      <c r="D12" s="5">
        <v>73</v>
      </c>
      <c r="E12" s="1">
        <f t="shared" si="0"/>
        <v>30.385015608740893</v>
      </c>
      <c r="F12" s="1">
        <v>3</v>
      </c>
      <c r="G12" s="2">
        <v>45.5</v>
      </c>
      <c r="H12" s="2">
        <v>83.9</v>
      </c>
      <c r="I12" s="2">
        <v>6.6822999999999997</v>
      </c>
      <c r="J12" s="2">
        <v>29.3781</v>
      </c>
      <c r="K12" s="2" t="s">
        <v>74</v>
      </c>
      <c r="L12" s="2" t="s">
        <v>94</v>
      </c>
      <c r="M12" s="2"/>
      <c r="N12" s="2"/>
      <c r="O12" s="2" t="s">
        <v>79</v>
      </c>
      <c r="P12" s="2" t="s">
        <v>119</v>
      </c>
      <c r="Q12" s="6" t="s">
        <v>99</v>
      </c>
      <c r="R12" s="1">
        <v>0</v>
      </c>
      <c r="S12" s="1">
        <v>1</v>
      </c>
    </row>
    <row r="13" spans="1:21" x14ac:dyDescent="0.7">
      <c r="A13" s="1">
        <v>11</v>
      </c>
      <c r="B13" s="1">
        <v>43</v>
      </c>
      <c r="C13" s="4">
        <v>1.53</v>
      </c>
      <c r="D13" s="5">
        <v>62</v>
      </c>
      <c r="E13" s="1">
        <f t="shared" si="0"/>
        <v>26.485539749668931</v>
      </c>
      <c r="F13" s="1">
        <v>3</v>
      </c>
      <c r="G13" s="2">
        <v>65.5</v>
      </c>
      <c r="H13" s="2">
        <v>69.099999999999994</v>
      </c>
      <c r="I13" s="2">
        <v>14.4109</v>
      </c>
      <c r="J13" s="2">
        <v>34.519199999999998</v>
      </c>
      <c r="K13" s="2"/>
      <c r="L13" s="2"/>
      <c r="M13" s="2" t="s">
        <v>94</v>
      </c>
      <c r="N13" s="2"/>
      <c r="O13" s="2"/>
      <c r="P13" s="2" t="s">
        <v>76</v>
      </c>
      <c r="Q13" s="6" t="s">
        <v>99</v>
      </c>
      <c r="R13" s="1">
        <v>0</v>
      </c>
      <c r="S13" s="1">
        <v>0</v>
      </c>
    </row>
    <row r="14" spans="1:21" x14ac:dyDescent="0.7">
      <c r="A14" s="1">
        <v>12</v>
      </c>
      <c r="B14" s="1">
        <v>57</v>
      </c>
      <c r="C14" s="4">
        <v>1.52</v>
      </c>
      <c r="D14" s="5">
        <v>56</v>
      </c>
      <c r="E14" s="1">
        <f t="shared" si="0"/>
        <v>24.238227146814406</v>
      </c>
      <c r="F14" s="1">
        <v>0</v>
      </c>
      <c r="G14" s="2">
        <v>1470.2</v>
      </c>
      <c r="H14" s="2">
        <v>1183.4000000000001</v>
      </c>
      <c r="I14" s="2">
        <v>99.698400000000007</v>
      </c>
      <c r="J14" s="2">
        <v>99.075699999999998</v>
      </c>
      <c r="K14" s="2" t="s">
        <v>81</v>
      </c>
      <c r="L14" s="2"/>
      <c r="M14" s="2" t="s">
        <v>94</v>
      </c>
      <c r="N14" s="2" t="s">
        <v>98</v>
      </c>
      <c r="O14" s="2"/>
      <c r="P14" s="2" t="s">
        <v>80</v>
      </c>
      <c r="Q14" s="6" t="s">
        <v>100</v>
      </c>
      <c r="R14" s="1">
        <v>0</v>
      </c>
      <c r="S14" s="1">
        <v>1</v>
      </c>
      <c r="U14" s="1" t="s">
        <v>1</v>
      </c>
    </row>
    <row r="15" spans="1:21" x14ac:dyDescent="0.7">
      <c r="A15" s="1">
        <v>13</v>
      </c>
      <c r="B15" s="1">
        <v>42</v>
      </c>
      <c r="C15" s="4">
        <v>1.65</v>
      </c>
      <c r="D15" s="5">
        <v>76</v>
      </c>
      <c r="E15" s="1">
        <f t="shared" si="0"/>
        <v>27.915518824609737</v>
      </c>
      <c r="F15" s="1">
        <v>0</v>
      </c>
      <c r="G15" s="2">
        <v>23.7</v>
      </c>
      <c r="H15" s="2">
        <v>355.3</v>
      </c>
      <c r="I15" s="2">
        <v>1.6326000000000001</v>
      </c>
      <c r="J15" s="2">
        <v>37.78</v>
      </c>
      <c r="K15" s="2"/>
      <c r="L15" s="2"/>
      <c r="M15" s="2"/>
      <c r="N15" s="2"/>
      <c r="O15" s="2"/>
      <c r="P15" s="2" t="s">
        <v>111</v>
      </c>
      <c r="Q15" s="7"/>
      <c r="R15" s="1">
        <v>1</v>
      </c>
      <c r="S15" s="1">
        <v>0</v>
      </c>
      <c r="U15" s="3" t="s">
        <v>2</v>
      </c>
    </row>
    <row r="16" spans="1:21" x14ac:dyDescent="0.7">
      <c r="A16" s="1">
        <v>14</v>
      </c>
      <c r="B16" s="1">
        <v>48</v>
      </c>
      <c r="C16" s="4">
        <v>1.5</v>
      </c>
      <c r="D16" s="5">
        <v>58</v>
      </c>
      <c r="E16" s="1">
        <f t="shared" si="0"/>
        <v>25.777777777777775</v>
      </c>
      <c r="F16" s="1">
        <v>0</v>
      </c>
      <c r="G16" s="2">
        <v>22.5</v>
      </c>
      <c r="H16" s="2">
        <v>72.7</v>
      </c>
      <c r="I16" s="2">
        <v>1.3106</v>
      </c>
      <c r="J16" s="2">
        <v>15.260199999999999</v>
      </c>
      <c r="K16" s="2" t="s">
        <v>83</v>
      </c>
      <c r="L16" s="2" t="s">
        <v>94</v>
      </c>
      <c r="M16" s="2"/>
      <c r="N16" s="2"/>
      <c r="O16" s="2" t="s">
        <v>84</v>
      </c>
      <c r="P16" s="2" t="s">
        <v>82</v>
      </c>
      <c r="Q16" s="6" t="s">
        <v>101</v>
      </c>
      <c r="R16" s="1">
        <v>0</v>
      </c>
      <c r="S16" s="1">
        <v>0</v>
      </c>
      <c r="U16" s="1" t="s">
        <v>3</v>
      </c>
    </row>
    <row r="17" spans="1:19" x14ac:dyDescent="0.7">
      <c r="A17" s="1">
        <v>15</v>
      </c>
      <c r="B17" s="1">
        <v>56</v>
      </c>
      <c r="C17" s="4">
        <v>1.61</v>
      </c>
      <c r="D17" s="5">
        <v>66</v>
      </c>
      <c r="E17" s="1">
        <f t="shared" si="0"/>
        <v>25.461980633463213</v>
      </c>
      <c r="F17" s="1">
        <v>0</v>
      </c>
      <c r="G17" s="2">
        <v>57.7</v>
      </c>
      <c r="H17" s="2">
        <v>32.1</v>
      </c>
      <c r="I17" s="2">
        <v>10.6088</v>
      </c>
      <c r="J17" s="2">
        <v>20.860900000000001</v>
      </c>
      <c r="K17" s="2" t="s">
        <v>74</v>
      </c>
      <c r="L17" s="2" t="s">
        <v>94</v>
      </c>
      <c r="M17" s="2"/>
      <c r="N17" s="2"/>
      <c r="O17" s="2"/>
      <c r="P17" s="2" t="s">
        <v>85</v>
      </c>
      <c r="Q17" s="6" t="s">
        <v>102</v>
      </c>
      <c r="R17" s="1">
        <v>0</v>
      </c>
      <c r="S17" s="1">
        <v>1</v>
      </c>
    </row>
    <row r="18" spans="1:19" x14ac:dyDescent="0.7">
      <c r="A18" s="1">
        <v>16</v>
      </c>
      <c r="B18" s="1">
        <v>72</v>
      </c>
      <c r="C18" s="4">
        <v>1.51</v>
      </c>
      <c r="D18" s="5">
        <v>56</v>
      </c>
      <c r="E18" s="1">
        <f t="shared" si="0"/>
        <v>24.560326301478003</v>
      </c>
      <c r="F18" s="1">
        <v>2</v>
      </c>
      <c r="G18" s="2">
        <v>36.1</v>
      </c>
      <c r="H18" s="2">
        <v>15.1</v>
      </c>
      <c r="I18" s="2">
        <v>3.5754000000000001</v>
      </c>
      <c r="J18" s="2">
        <v>8.5246999999999993</v>
      </c>
      <c r="K18" s="2"/>
      <c r="L18" s="2"/>
      <c r="M18" s="2"/>
      <c r="N18" s="2"/>
      <c r="O18" s="2"/>
      <c r="P18" s="2" t="s">
        <v>113</v>
      </c>
      <c r="Q18" s="2"/>
      <c r="R18" s="1">
        <v>1</v>
      </c>
      <c r="S18" s="1">
        <v>1</v>
      </c>
    </row>
    <row r="19" spans="1:19" x14ac:dyDescent="0.7">
      <c r="A19" s="1">
        <v>17</v>
      </c>
      <c r="B19" s="1">
        <v>41</v>
      </c>
      <c r="C19" s="4">
        <v>1.6</v>
      </c>
      <c r="D19" s="5">
        <v>56</v>
      </c>
      <c r="E19" s="1">
        <f t="shared" si="0"/>
        <v>21.875</v>
      </c>
      <c r="F19" s="1">
        <v>0</v>
      </c>
      <c r="G19" s="2">
        <v>53.4</v>
      </c>
      <c r="H19" s="2">
        <v>45.3</v>
      </c>
      <c r="I19" s="2">
        <v>9.1613000000000007</v>
      </c>
      <c r="J19" s="2">
        <v>23.8352</v>
      </c>
      <c r="K19" s="2"/>
      <c r="L19" s="2"/>
      <c r="M19" s="2"/>
      <c r="N19" s="2"/>
      <c r="O19" s="2"/>
      <c r="P19" s="2" t="s">
        <v>114</v>
      </c>
      <c r="Q19" s="2"/>
      <c r="R19" s="1">
        <v>1</v>
      </c>
      <c r="S19" s="1">
        <v>0</v>
      </c>
    </row>
    <row r="20" spans="1:19" x14ac:dyDescent="0.7">
      <c r="A20" s="1">
        <v>18</v>
      </c>
      <c r="B20" s="1">
        <v>70</v>
      </c>
      <c r="C20" s="4">
        <v>1.62</v>
      </c>
      <c r="D20" s="5">
        <v>63</v>
      </c>
      <c r="E20" s="1">
        <f t="shared" si="0"/>
        <v>24.005486968449929</v>
      </c>
      <c r="F20" s="1">
        <v>0</v>
      </c>
      <c r="G20" s="2">
        <v>70</v>
      </c>
      <c r="H20" s="2">
        <v>109.9</v>
      </c>
      <c r="I20" s="2">
        <v>16.876799999999999</v>
      </c>
      <c r="J20" s="2">
        <v>44.238700000000001</v>
      </c>
      <c r="K20" s="2" t="s">
        <v>74</v>
      </c>
      <c r="L20" s="2" t="s">
        <v>94</v>
      </c>
      <c r="M20" s="2"/>
      <c r="N20" s="2"/>
      <c r="O20" s="2"/>
      <c r="P20" s="2" t="s">
        <v>86</v>
      </c>
      <c r="Q20" s="2"/>
      <c r="R20" s="1">
        <v>0</v>
      </c>
      <c r="S20" s="1">
        <v>1</v>
      </c>
    </row>
    <row r="21" spans="1:19" x14ac:dyDescent="0.7">
      <c r="A21" s="1">
        <v>19</v>
      </c>
      <c r="B21" s="1">
        <v>46</v>
      </c>
      <c r="C21" s="4">
        <v>1.63</v>
      </c>
      <c r="D21" s="5">
        <v>78</v>
      </c>
      <c r="E21" s="1">
        <f t="shared" si="0"/>
        <v>29.357521924046825</v>
      </c>
      <c r="F21" s="1">
        <v>1</v>
      </c>
      <c r="G21" s="2">
        <v>43.5</v>
      </c>
      <c r="H21" s="2">
        <v>17.8</v>
      </c>
      <c r="I21" s="2">
        <v>5.5170000000000003</v>
      </c>
      <c r="J21" s="2">
        <v>11.3171</v>
      </c>
      <c r="K21" s="2"/>
      <c r="L21" s="2"/>
      <c r="M21" s="2"/>
      <c r="N21" s="2"/>
      <c r="O21" s="2"/>
      <c r="P21" s="2" t="s">
        <v>107</v>
      </c>
      <c r="Q21" s="2"/>
      <c r="R21" s="1">
        <v>1</v>
      </c>
      <c r="S21" s="1">
        <v>0</v>
      </c>
    </row>
    <row r="22" spans="1:19" x14ac:dyDescent="0.7">
      <c r="A22" s="1">
        <v>20</v>
      </c>
      <c r="B22" s="1">
        <v>55</v>
      </c>
      <c r="C22" s="4">
        <v>1.56</v>
      </c>
      <c r="D22" s="5">
        <v>53</v>
      </c>
      <c r="E22" s="1">
        <f t="shared" si="0"/>
        <v>21.7784352399737</v>
      </c>
      <c r="F22" s="1">
        <v>2</v>
      </c>
      <c r="G22" s="2">
        <v>35.200000000000003</v>
      </c>
      <c r="H22" s="2">
        <v>7.7</v>
      </c>
      <c r="I22" s="2">
        <v>3.2391999999999999</v>
      </c>
      <c r="J22" s="2">
        <v>5.2534000000000001</v>
      </c>
      <c r="K22" s="2"/>
      <c r="L22" s="2"/>
      <c r="M22" s="2"/>
      <c r="N22" s="2"/>
      <c r="O22" s="2"/>
      <c r="P22" s="2" t="s">
        <v>115</v>
      </c>
      <c r="Q22" s="2"/>
      <c r="R22" s="1">
        <v>1</v>
      </c>
      <c r="S22" s="1">
        <v>0</v>
      </c>
    </row>
    <row r="23" spans="1:19" x14ac:dyDescent="0.7">
      <c r="A23" s="1">
        <v>21</v>
      </c>
      <c r="B23" s="1">
        <v>66</v>
      </c>
      <c r="C23" s="4">
        <v>1.57</v>
      </c>
      <c r="D23" s="5">
        <v>54</v>
      </c>
      <c r="E23" s="1">
        <f t="shared" si="0"/>
        <v>21.907582457706194</v>
      </c>
      <c r="F23" s="1">
        <v>3</v>
      </c>
      <c r="G23" s="2">
        <v>866.6</v>
      </c>
      <c r="H23" s="2">
        <v>1432</v>
      </c>
      <c r="I23" s="2">
        <v>98.959100000000007</v>
      </c>
      <c r="J23" s="2">
        <v>98.613600000000005</v>
      </c>
      <c r="K23" s="2" t="s">
        <v>88</v>
      </c>
      <c r="L23" s="2" t="s">
        <v>95</v>
      </c>
      <c r="M23" s="2"/>
      <c r="N23" s="2"/>
      <c r="O23" s="2" t="s">
        <v>89</v>
      </c>
      <c r="P23" s="2" t="s">
        <v>87</v>
      </c>
      <c r="Q23" s="2" t="s">
        <v>103</v>
      </c>
      <c r="R23" s="1">
        <v>0</v>
      </c>
      <c r="S23" s="1">
        <v>1</v>
      </c>
    </row>
    <row r="24" spans="1:19" x14ac:dyDescent="0.7">
      <c r="A24" s="1">
        <v>22</v>
      </c>
      <c r="B24" s="1">
        <v>58</v>
      </c>
      <c r="C24" s="4">
        <v>1.6</v>
      </c>
      <c r="D24" s="5">
        <v>55</v>
      </c>
      <c r="E24" s="1">
        <f t="shared" si="0"/>
        <v>21.484375</v>
      </c>
      <c r="F24" s="1">
        <v>1</v>
      </c>
      <c r="G24" s="2">
        <v>41</v>
      </c>
      <c r="H24" s="2">
        <v>30.6</v>
      </c>
      <c r="I24" s="2">
        <v>4.9852999999999996</v>
      </c>
      <c r="J24" s="2">
        <v>15.1394</v>
      </c>
      <c r="K24" s="2"/>
      <c r="L24" s="2" t="s">
        <v>94</v>
      </c>
      <c r="M24" s="2"/>
      <c r="N24" s="2"/>
      <c r="O24" s="2"/>
      <c r="P24" s="2" t="s">
        <v>90</v>
      </c>
      <c r="Q24" s="2" t="s">
        <v>103</v>
      </c>
      <c r="R24" s="1">
        <v>0</v>
      </c>
      <c r="S24" s="1">
        <v>1</v>
      </c>
    </row>
    <row r="25" spans="1:19" x14ac:dyDescent="0.7">
      <c r="A25" s="1">
        <v>23</v>
      </c>
      <c r="B25" s="1">
        <v>38</v>
      </c>
      <c r="C25" s="4">
        <v>1.62</v>
      </c>
      <c r="D25" s="5">
        <v>64</v>
      </c>
      <c r="E25" s="1">
        <f t="shared" si="0"/>
        <v>24.386526444139609</v>
      </c>
      <c r="F25" s="1">
        <v>0</v>
      </c>
      <c r="G25" s="2">
        <v>26.8</v>
      </c>
      <c r="H25" s="2">
        <v>24.5</v>
      </c>
      <c r="I25" s="2">
        <v>1.8463000000000001</v>
      </c>
      <c r="J25" s="2">
        <v>8.8779000000000003</v>
      </c>
      <c r="K25" s="2"/>
      <c r="L25" s="2"/>
      <c r="M25" s="2"/>
      <c r="N25" s="2"/>
      <c r="O25" s="2"/>
      <c r="P25" s="2" t="s">
        <v>117</v>
      </c>
      <c r="Q25" s="2"/>
      <c r="R25" s="1">
        <v>1</v>
      </c>
      <c r="S25" s="1">
        <v>0</v>
      </c>
    </row>
    <row r="26" spans="1:19" x14ac:dyDescent="0.7">
      <c r="A26" s="1">
        <v>24</v>
      </c>
      <c r="B26" s="1">
        <v>43</v>
      </c>
      <c r="C26" s="4">
        <v>1.65</v>
      </c>
      <c r="D26" s="5">
        <v>64</v>
      </c>
      <c r="E26" s="1">
        <f t="shared" si="0"/>
        <v>23.507805325987146</v>
      </c>
      <c r="F26" s="1">
        <v>0</v>
      </c>
      <c r="G26" s="2">
        <v>95.1</v>
      </c>
      <c r="H26" s="2">
        <v>22.4</v>
      </c>
      <c r="I26" s="2">
        <v>27.594999999999999</v>
      </c>
      <c r="J26" s="2">
        <v>25.406600000000001</v>
      </c>
      <c r="K26" s="2"/>
      <c r="L26" s="2"/>
      <c r="M26" s="2"/>
      <c r="N26" s="2"/>
      <c r="O26" s="2"/>
      <c r="P26" s="2" t="s">
        <v>91</v>
      </c>
      <c r="Q26" s="2"/>
      <c r="R26" s="1">
        <v>0</v>
      </c>
      <c r="S26" s="1">
        <v>0</v>
      </c>
    </row>
    <row r="27" spans="1:19" x14ac:dyDescent="0.7">
      <c r="A27" s="1" t="s">
        <v>70</v>
      </c>
      <c r="B27" s="1">
        <f>AVERAGE(B3:B26)</f>
        <v>50.833333333333336</v>
      </c>
      <c r="C27" s="1">
        <f t="shared" ref="C27:D27" si="1">AVERAGE(C3:C26)</f>
        <v>1.5699999999999996</v>
      </c>
      <c r="D27" s="1">
        <f t="shared" si="1"/>
        <v>60.8125</v>
      </c>
      <c r="E27" s="1">
        <f>AVERAGE(E3:E26)</f>
        <v>24.593976621949817</v>
      </c>
    </row>
    <row r="28" spans="1:19" x14ac:dyDescent="0.7">
      <c r="A28" s="1" t="s">
        <v>71</v>
      </c>
      <c r="B28" s="1">
        <f>_xlfn.STDEV.P(B3:B26)</f>
        <v>12.518874638809281</v>
      </c>
      <c r="C28" s="1">
        <f t="shared" ref="C28:E28" si="2">_xlfn.STDEV.P(C3:C26)</f>
        <v>5.400617248673218E-2</v>
      </c>
      <c r="D28" s="1">
        <f t="shared" si="2"/>
        <v>9.7389387041573201</v>
      </c>
      <c r="E28" s="1">
        <f t="shared" si="2"/>
        <v>3.2432526242161472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E13" sqref="E13"/>
    </sheetView>
  </sheetViews>
  <sheetFormatPr defaultRowHeight="17.649999999999999" x14ac:dyDescent="0.7"/>
  <cols>
    <col min="1" max="2" width="9" style="1"/>
    <col min="3" max="3" width="17.5" style="1" bestFit="1" customWidth="1"/>
    <col min="4" max="16384" width="9" style="1"/>
  </cols>
  <sheetData>
    <row r="1" spans="1:4" x14ac:dyDescent="0.7">
      <c r="A1" s="1" t="s">
        <v>4</v>
      </c>
      <c r="B1" s="1" t="s">
        <v>6</v>
      </c>
    </row>
    <row r="2" spans="1:4" x14ac:dyDescent="0.7">
      <c r="A2" s="1" t="s">
        <v>44</v>
      </c>
    </row>
    <row r="3" spans="1:4" x14ac:dyDescent="0.7">
      <c r="A3" s="2">
        <v>30.8</v>
      </c>
      <c r="B3" s="1">
        <v>1</v>
      </c>
    </row>
    <row r="4" spans="1:4" x14ac:dyDescent="0.7">
      <c r="A4" s="2">
        <v>66.8</v>
      </c>
      <c r="B4" s="1">
        <v>0</v>
      </c>
      <c r="D4" s="1" t="s">
        <v>6</v>
      </c>
    </row>
    <row r="5" spans="1:4" x14ac:dyDescent="0.7">
      <c r="A5" s="2">
        <v>239.3</v>
      </c>
      <c r="B5" s="1">
        <v>0</v>
      </c>
      <c r="D5" s="1" t="s">
        <v>7</v>
      </c>
    </row>
    <row r="6" spans="1:4" x14ac:dyDescent="0.7">
      <c r="A6" s="2">
        <v>318.3</v>
      </c>
      <c r="B6" s="1">
        <v>0</v>
      </c>
      <c r="D6" s="1" t="s">
        <v>8</v>
      </c>
    </row>
    <row r="7" spans="1:4" x14ac:dyDescent="0.7">
      <c r="A7" s="2">
        <v>56.2</v>
      </c>
      <c r="B7" s="1">
        <v>1</v>
      </c>
    </row>
    <row r="8" spans="1:4" x14ac:dyDescent="0.7">
      <c r="A8" s="2">
        <v>144.19999999999999</v>
      </c>
      <c r="B8" s="1">
        <v>1</v>
      </c>
    </row>
    <row r="9" spans="1:4" x14ac:dyDescent="0.7">
      <c r="A9" s="2">
        <v>32.6</v>
      </c>
      <c r="B9" s="1">
        <v>1</v>
      </c>
    </row>
    <row r="10" spans="1:4" x14ac:dyDescent="0.7">
      <c r="A10" s="2">
        <v>37.5</v>
      </c>
      <c r="B10" s="1">
        <v>1</v>
      </c>
    </row>
    <row r="11" spans="1:4" x14ac:dyDescent="0.7">
      <c r="A11" s="2">
        <v>35.5</v>
      </c>
      <c r="B11" s="1">
        <v>1</v>
      </c>
    </row>
    <row r="12" spans="1:4" x14ac:dyDescent="0.7">
      <c r="A12" s="2">
        <v>45.5</v>
      </c>
      <c r="B12" s="1">
        <v>0</v>
      </c>
    </row>
    <row r="13" spans="1:4" x14ac:dyDescent="0.7">
      <c r="A13" s="2">
        <v>65.5</v>
      </c>
      <c r="B13" s="1">
        <v>0</v>
      </c>
    </row>
    <row r="14" spans="1:4" x14ac:dyDescent="0.7">
      <c r="A14" s="2">
        <v>1470.2</v>
      </c>
      <c r="B14" s="1">
        <v>0</v>
      </c>
    </row>
    <row r="15" spans="1:4" x14ac:dyDescent="0.7">
      <c r="A15" s="2">
        <v>23.7</v>
      </c>
      <c r="B15" s="1">
        <v>1</v>
      </c>
      <c r="C15" s="3"/>
    </row>
    <row r="16" spans="1:4" x14ac:dyDescent="0.7">
      <c r="A16" s="2">
        <v>22.5</v>
      </c>
      <c r="B16" s="1">
        <v>0</v>
      </c>
    </row>
    <row r="17" spans="1:2" x14ac:dyDescent="0.7">
      <c r="A17" s="2">
        <v>57.7</v>
      </c>
      <c r="B17" s="1">
        <v>0</v>
      </c>
    </row>
    <row r="18" spans="1:2" x14ac:dyDescent="0.7">
      <c r="A18" s="2">
        <v>36.1</v>
      </c>
      <c r="B18" s="1">
        <v>1</v>
      </c>
    </row>
    <row r="19" spans="1:2" x14ac:dyDescent="0.7">
      <c r="A19" s="2">
        <v>53.4</v>
      </c>
      <c r="B19" s="1">
        <v>1</v>
      </c>
    </row>
    <row r="20" spans="1:2" x14ac:dyDescent="0.7">
      <c r="A20" s="2">
        <v>70</v>
      </c>
      <c r="B20" s="1">
        <v>0</v>
      </c>
    </row>
    <row r="21" spans="1:2" x14ac:dyDescent="0.7">
      <c r="A21" s="2">
        <v>43.5</v>
      </c>
      <c r="B21" s="1">
        <v>1</v>
      </c>
    </row>
    <row r="22" spans="1:2" x14ac:dyDescent="0.7">
      <c r="A22" s="2">
        <v>35.200000000000003</v>
      </c>
      <c r="B22" s="1">
        <v>1</v>
      </c>
    </row>
    <row r="23" spans="1:2" x14ac:dyDescent="0.7">
      <c r="A23" s="2">
        <v>866.6</v>
      </c>
      <c r="B23" s="1">
        <v>0</v>
      </c>
    </row>
    <row r="24" spans="1:2" x14ac:dyDescent="0.7">
      <c r="A24" s="2">
        <v>41</v>
      </c>
      <c r="B24" s="1">
        <v>0</v>
      </c>
    </row>
    <row r="25" spans="1:2" x14ac:dyDescent="0.7">
      <c r="A25" s="2">
        <v>26.8</v>
      </c>
      <c r="B25" s="1">
        <v>1</v>
      </c>
    </row>
    <row r="26" spans="1:2" x14ac:dyDescent="0.7">
      <c r="A26" s="2">
        <v>95.1</v>
      </c>
      <c r="B26" s="1">
        <v>0</v>
      </c>
    </row>
  </sheetData>
  <autoFilter ref="A1:B26"/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Precision</vt:lpstr>
      <vt:lpstr>Linearity</vt:lpstr>
      <vt:lpstr>Effect</vt:lpstr>
      <vt:lpstr>Sensitivity</vt:lpstr>
      <vt:lpstr>Healthy women</vt:lpstr>
      <vt:lpstr>Patients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町田弘樹</dc:creator>
  <cp:lastModifiedBy>abe</cp:lastModifiedBy>
  <cp:lastPrinted>2023-11-14T02:13:42Z</cp:lastPrinted>
  <dcterms:created xsi:type="dcterms:W3CDTF">2022-01-04T05:00:21Z</dcterms:created>
  <dcterms:modified xsi:type="dcterms:W3CDTF">2023-11-27T06:26:17Z</dcterms:modified>
</cp:coreProperties>
</file>