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15b561998858a3/文档/"/>
    </mc:Choice>
  </mc:AlternateContent>
  <xr:revisionPtr revIDLastSave="1" documentId="8_{89E7D1C6-0D01-4C03-A216-1CDE2BB0A3C1}" xr6:coauthVersionLast="47" xr6:coauthVersionMax="47" xr10:uidLastSave="{B42120F7-BA5D-4CD1-BC6A-1E80AEBAE8B1}"/>
  <bookViews>
    <workbookView xWindow="2760" yWindow="1950" windowWidth="21600" windowHeight="12060" activeTab="1" xr2:uid="{ECFBC7ED-92CC-4D17-83AA-9C8B924E41F8}"/>
  </bookViews>
  <sheets>
    <sheet name="Ovarian Cancer" sheetId="1" r:id="rId1"/>
    <sheet name="Ovarian Cyst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3" i="2" l="1"/>
  <c r="J193" i="2"/>
  <c r="N192" i="2"/>
  <c r="J192" i="2"/>
  <c r="N191" i="2"/>
  <c r="J191" i="2"/>
  <c r="N190" i="2"/>
  <c r="J190" i="2"/>
  <c r="N189" i="2"/>
  <c r="J189" i="2"/>
  <c r="N188" i="2"/>
  <c r="J188" i="2"/>
  <c r="N187" i="2"/>
  <c r="J187" i="2"/>
  <c r="N186" i="2"/>
  <c r="J186" i="2"/>
  <c r="N185" i="2"/>
  <c r="J185" i="2"/>
  <c r="N184" i="2"/>
  <c r="J184" i="2"/>
  <c r="N183" i="2"/>
  <c r="J183" i="2"/>
  <c r="N182" i="2"/>
  <c r="J182" i="2"/>
  <c r="N181" i="2"/>
  <c r="J181" i="2"/>
  <c r="N180" i="2"/>
  <c r="J180" i="2"/>
  <c r="N179" i="2"/>
  <c r="J179" i="2"/>
  <c r="N178" i="2"/>
  <c r="J178" i="2"/>
  <c r="N177" i="2"/>
  <c r="J177" i="2"/>
  <c r="N176" i="2"/>
  <c r="J176" i="2"/>
  <c r="N175" i="2"/>
  <c r="J175" i="2"/>
  <c r="N174" i="2"/>
  <c r="J174" i="2"/>
  <c r="N173" i="2"/>
  <c r="J173" i="2"/>
  <c r="N172" i="2"/>
  <c r="J172" i="2"/>
  <c r="N171" i="2"/>
  <c r="J171" i="2"/>
  <c r="N170" i="2"/>
  <c r="J170" i="2"/>
  <c r="N169" i="2"/>
  <c r="J169" i="2"/>
  <c r="N168" i="2"/>
  <c r="J168" i="2"/>
  <c r="N167" i="2"/>
  <c r="J167" i="2"/>
  <c r="N166" i="2"/>
  <c r="J166" i="2"/>
  <c r="N165" i="2"/>
  <c r="J165" i="2"/>
  <c r="N164" i="2"/>
  <c r="J164" i="2"/>
  <c r="N163" i="2"/>
  <c r="J163" i="2"/>
  <c r="N162" i="2"/>
  <c r="J162" i="2"/>
  <c r="N161" i="2"/>
  <c r="J161" i="2"/>
  <c r="N160" i="2"/>
  <c r="J160" i="2"/>
  <c r="N159" i="2"/>
  <c r="J159" i="2"/>
  <c r="N158" i="2"/>
  <c r="J158" i="2"/>
  <c r="N157" i="2"/>
  <c r="J157" i="2"/>
  <c r="N156" i="2"/>
  <c r="J156" i="2"/>
  <c r="N155" i="2"/>
  <c r="J155" i="2"/>
  <c r="N154" i="2"/>
  <c r="J154" i="2"/>
  <c r="N153" i="2"/>
  <c r="J153" i="2"/>
  <c r="N152" i="2"/>
  <c r="J152" i="2"/>
  <c r="N151" i="2"/>
  <c r="J151" i="2"/>
  <c r="N150" i="2"/>
  <c r="J150" i="2"/>
  <c r="N149" i="2"/>
  <c r="J149" i="2"/>
  <c r="N148" i="2"/>
  <c r="J148" i="2"/>
  <c r="N147" i="2"/>
  <c r="J147" i="2"/>
  <c r="N146" i="2"/>
  <c r="J146" i="2"/>
  <c r="N145" i="2"/>
  <c r="J145" i="2"/>
  <c r="N144" i="2"/>
  <c r="J144" i="2"/>
  <c r="N143" i="2"/>
  <c r="J143" i="2"/>
  <c r="N142" i="2"/>
  <c r="J142" i="2"/>
  <c r="N141" i="2"/>
  <c r="J141" i="2"/>
  <c r="N140" i="2"/>
  <c r="J140" i="2"/>
  <c r="N139" i="2"/>
  <c r="J139" i="2"/>
  <c r="N138" i="2"/>
  <c r="J138" i="2"/>
  <c r="N137" i="2"/>
  <c r="J137" i="2"/>
  <c r="N136" i="2"/>
  <c r="J136" i="2"/>
  <c r="N135" i="2"/>
  <c r="J135" i="2"/>
  <c r="N134" i="2"/>
  <c r="J134" i="2"/>
  <c r="N133" i="2"/>
  <c r="J133" i="2"/>
  <c r="N132" i="2"/>
  <c r="J132" i="2"/>
  <c r="N131" i="2"/>
  <c r="J131" i="2"/>
  <c r="N130" i="2"/>
  <c r="J130" i="2"/>
  <c r="N129" i="2"/>
  <c r="J129" i="2"/>
  <c r="N128" i="2"/>
  <c r="J128" i="2"/>
  <c r="N127" i="2"/>
  <c r="J127" i="2"/>
  <c r="N126" i="2"/>
  <c r="J126" i="2"/>
  <c r="N125" i="2"/>
  <c r="J125" i="2"/>
  <c r="N124" i="2"/>
  <c r="J124" i="2"/>
  <c r="N123" i="2"/>
  <c r="J123" i="2"/>
  <c r="N122" i="2"/>
  <c r="J122" i="2"/>
  <c r="N121" i="2"/>
  <c r="J121" i="2"/>
  <c r="N120" i="2"/>
  <c r="J120" i="2"/>
  <c r="N119" i="2"/>
  <c r="J119" i="2"/>
  <c r="N118" i="2"/>
  <c r="J118" i="2"/>
  <c r="N117" i="2"/>
  <c r="J117" i="2"/>
  <c r="N116" i="2"/>
  <c r="J116" i="2"/>
  <c r="N115" i="2"/>
  <c r="J115" i="2"/>
  <c r="N114" i="2"/>
  <c r="J114" i="2"/>
  <c r="N113" i="2"/>
  <c r="J113" i="2"/>
  <c r="N112" i="2"/>
  <c r="J112" i="2"/>
  <c r="N111" i="2"/>
  <c r="J111" i="2"/>
  <c r="N110" i="2"/>
  <c r="J110" i="2"/>
  <c r="N109" i="2"/>
  <c r="J109" i="2"/>
  <c r="N108" i="2"/>
  <c r="J108" i="2"/>
  <c r="N107" i="2"/>
  <c r="J107" i="2"/>
  <c r="N106" i="2"/>
  <c r="J106" i="2"/>
  <c r="N105" i="2"/>
  <c r="J105" i="2"/>
  <c r="N104" i="2"/>
  <c r="J104" i="2"/>
  <c r="N103" i="2"/>
  <c r="J103" i="2"/>
  <c r="N102" i="2"/>
  <c r="J102" i="2"/>
  <c r="N101" i="2"/>
  <c r="J101" i="2"/>
  <c r="N100" i="2"/>
  <c r="J100" i="2"/>
  <c r="N99" i="2"/>
  <c r="J99" i="2"/>
  <c r="N98" i="2"/>
  <c r="J98" i="2"/>
  <c r="N97" i="2"/>
  <c r="J97" i="2"/>
  <c r="N96" i="2"/>
  <c r="J96" i="2"/>
  <c r="N95" i="2"/>
  <c r="J95" i="2"/>
  <c r="N94" i="2"/>
  <c r="J94" i="2"/>
  <c r="N93" i="2"/>
  <c r="J93" i="2"/>
  <c r="N92" i="2"/>
  <c r="J92" i="2"/>
  <c r="N91" i="2"/>
  <c r="J91" i="2"/>
  <c r="N90" i="2"/>
  <c r="J90" i="2"/>
  <c r="N89" i="2"/>
  <c r="J89" i="2"/>
  <c r="N88" i="2"/>
  <c r="J88" i="2"/>
  <c r="N87" i="2"/>
  <c r="J87" i="2"/>
  <c r="N86" i="2"/>
  <c r="J86" i="2"/>
  <c r="N85" i="2"/>
  <c r="J85" i="2"/>
  <c r="N84" i="2"/>
  <c r="J84" i="2"/>
  <c r="N83" i="2"/>
  <c r="J83" i="2"/>
  <c r="N82" i="2"/>
  <c r="J82" i="2"/>
  <c r="N81" i="2"/>
  <c r="J81" i="2"/>
  <c r="N80" i="2"/>
  <c r="J80" i="2"/>
  <c r="N79" i="2"/>
  <c r="J79" i="2"/>
  <c r="N78" i="2"/>
  <c r="J78" i="2"/>
  <c r="N77" i="2"/>
  <c r="J77" i="2"/>
  <c r="N76" i="2"/>
  <c r="J76" i="2"/>
  <c r="N75" i="2"/>
  <c r="J75" i="2"/>
  <c r="N74" i="2"/>
  <c r="J74" i="2"/>
  <c r="N73" i="2"/>
  <c r="J73" i="2"/>
  <c r="N72" i="2"/>
  <c r="J72" i="2"/>
  <c r="N71" i="2"/>
  <c r="J71" i="2"/>
  <c r="N70" i="2"/>
  <c r="J70" i="2"/>
  <c r="N69" i="2"/>
  <c r="J69" i="2"/>
  <c r="N68" i="2"/>
  <c r="J68" i="2"/>
  <c r="N67" i="2"/>
  <c r="J67" i="2"/>
  <c r="N66" i="2"/>
  <c r="J66" i="2"/>
  <c r="N65" i="2"/>
  <c r="J65" i="2"/>
  <c r="N64" i="2"/>
  <c r="J64" i="2"/>
  <c r="N63" i="2"/>
  <c r="J63" i="2"/>
  <c r="N62" i="2"/>
  <c r="J62" i="2"/>
  <c r="N61" i="2"/>
  <c r="J61" i="2"/>
  <c r="N60" i="2"/>
  <c r="J60" i="2"/>
  <c r="N59" i="2"/>
  <c r="J59" i="2"/>
  <c r="N58" i="2"/>
  <c r="J58" i="2"/>
  <c r="N57" i="2"/>
  <c r="J57" i="2"/>
  <c r="N56" i="2"/>
  <c r="J56" i="2"/>
  <c r="N55" i="2"/>
  <c r="J55" i="2"/>
  <c r="N54" i="2"/>
  <c r="J54" i="2"/>
  <c r="N53" i="2"/>
  <c r="J53" i="2"/>
  <c r="N52" i="2"/>
  <c r="J52" i="2"/>
  <c r="N51" i="2"/>
  <c r="J51" i="2"/>
  <c r="N50" i="2"/>
  <c r="J50" i="2"/>
  <c r="N49" i="2"/>
  <c r="J49" i="2"/>
  <c r="N48" i="2"/>
  <c r="J48" i="2"/>
  <c r="N47" i="2"/>
  <c r="J47" i="2"/>
  <c r="N46" i="2"/>
  <c r="J46" i="2"/>
  <c r="N45" i="2"/>
  <c r="J45" i="2"/>
  <c r="N44" i="2"/>
  <c r="J44" i="2"/>
  <c r="N43" i="2"/>
  <c r="J43" i="2"/>
  <c r="N42" i="2"/>
  <c r="J42" i="2"/>
  <c r="N41" i="2"/>
  <c r="J41" i="2"/>
  <c r="N40" i="2"/>
  <c r="J40" i="2"/>
  <c r="N39" i="2"/>
  <c r="J39" i="2"/>
  <c r="N38" i="2"/>
  <c r="J38" i="2"/>
  <c r="N37" i="2"/>
  <c r="J37" i="2"/>
  <c r="N36" i="2"/>
  <c r="J36" i="2"/>
  <c r="N35" i="2"/>
  <c r="J35" i="2"/>
  <c r="N34" i="2"/>
  <c r="J34" i="2"/>
  <c r="N33" i="2"/>
  <c r="J33" i="2"/>
  <c r="N32" i="2"/>
  <c r="J32" i="2"/>
  <c r="N31" i="2"/>
  <c r="J31" i="2"/>
  <c r="N30" i="2"/>
  <c r="J30" i="2"/>
  <c r="N29" i="2"/>
  <c r="J29" i="2"/>
  <c r="N28" i="2"/>
  <c r="J28" i="2"/>
  <c r="N27" i="2"/>
  <c r="J27" i="2"/>
  <c r="N26" i="2"/>
  <c r="J26" i="2"/>
  <c r="N25" i="2"/>
  <c r="J25" i="2"/>
  <c r="N24" i="2"/>
  <c r="J24" i="2"/>
  <c r="N23" i="2"/>
  <c r="J23" i="2"/>
  <c r="N22" i="2"/>
  <c r="J22" i="2"/>
  <c r="N21" i="2"/>
  <c r="J21" i="2"/>
  <c r="N20" i="2"/>
  <c r="J20" i="2"/>
  <c r="N19" i="2"/>
  <c r="J19" i="2"/>
  <c r="N18" i="2"/>
  <c r="J18" i="2"/>
  <c r="N17" i="2"/>
  <c r="J17" i="2"/>
  <c r="N16" i="2"/>
  <c r="J16" i="2"/>
  <c r="N15" i="2"/>
  <c r="J15" i="2"/>
  <c r="N14" i="2"/>
  <c r="J14" i="2"/>
  <c r="N13" i="2"/>
  <c r="J13" i="2"/>
  <c r="N12" i="2"/>
  <c r="J12" i="2"/>
  <c r="N11" i="2"/>
  <c r="J11" i="2"/>
  <c r="N10" i="2"/>
  <c r="J10" i="2"/>
  <c r="N9" i="2"/>
  <c r="J9" i="2"/>
  <c r="N8" i="2"/>
  <c r="J8" i="2"/>
  <c r="N7" i="2"/>
  <c r="J7" i="2"/>
  <c r="N6" i="2"/>
  <c r="J6" i="2"/>
  <c r="N5" i="2"/>
  <c r="J5" i="2"/>
  <c r="N4" i="2"/>
  <c r="J4" i="2"/>
  <c r="N3" i="2"/>
  <c r="J3" i="2"/>
  <c r="N2" i="2"/>
  <c r="J2" i="2"/>
  <c r="E193" i="3"/>
  <c r="A193" i="3"/>
  <c r="E192" i="3"/>
  <c r="A192" i="3"/>
  <c r="E191" i="3"/>
  <c r="A191" i="3"/>
  <c r="E190" i="3"/>
  <c r="A190" i="3"/>
  <c r="E189" i="3"/>
  <c r="A189" i="3"/>
  <c r="E188" i="3"/>
  <c r="A188" i="3"/>
  <c r="E187" i="3"/>
  <c r="A187" i="3"/>
  <c r="E186" i="3"/>
  <c r="A186" i="3"/>
  <c r="E185" i="3"/>
  <c r="A185" i="3"/>
  <c r="E184" i="3"/>
  <c r="A184" i="3"/>
  <c r="E183" i="3"/>
  <c r="A183" i="3"/>
  <c r="E182" i="3"/>
  <c r="A182" i="3"/>
  <c r="E181" i="3"/>
  <c r="A181" i="3"/>
  <c r="E180" i="3"/>
  <c r="A180" i="3"/>
  <c r="E179" i="3"/>
  <c r="A179" i="3"/>
  <c r="E178" i="3"/>
  <c r="A178" i="3"/>
  <c r="E177" i="3"/>
  <c r="A177" i="3"/>
  <c r="E176" i="3"/>
  <c r="A176" i="3"/>
  <c r="E175" i="3"/>
  <c r="A175" i="3"/>
  <c r="E174" i="3"/>
  <c r="A174" i="3"/>
  <c r="E173" i="3"/>
  <c r="A173" i="3"/>
  <c r="E172" i="3"/>
  <c r="A172" i="3"/>
  <c r="E171" i="3"/>
  <c r="A171" i="3"/>
  <c r="E170" i="3"/>
  <c r="A170" i="3"/>
  <c r="E169" i="3"/>
  <c r="A169" i="3"/>
  <c r="E168" i="3"/>
  <c r="A168" i="3"/>
  <c r="E167" i="3"/>
  <c r="A167" i="3"/>
  <c r="E166" i="3"/>
  <c r="A166" i="3"/>
  <c r="E165" i="3"/>
  <c r="A165" i="3"/>
  <c r="E164" i="3"/>
  <c r="A164" i="3"/>
  <c r="E163" i="3"/>
  <c r="A163" i="3"/>
  <c r="E162" i="3"/>
  <c r="A162" i="3"/>
  <c r="E161" i="3"/>
  <c r="A161" i="3"/>
  <c r="E160" i="3"/>
  <c r="A160" i="3"/>
  <c r="E159" i="3"/>
  <c r="A159" i="3"/>
  <c r="E158" i="3"/>
  <c r="A158" i="3"/>
  <c r="E157" i="3"/>
  <c r="A157" i="3"/>
  <c r="E156" i="3"/>
  <c r="A156" i="3"/>
  <c r="E155" i="3"/>
  <c r="A155" i="3"/>
  <c r="E154" i="3"/>
  <c r="A154" i="3"/>
  <c r="E153" i="3"/>
  <c r="A153" i="3"/>
  <c r="E152" i="3"/>
  <c r="A152" i="3"/>
  <c r="E151" i="3"/>
  <c r="A151" i="3"/>
  <c r="E150" i="3"/>
  <c r="A150" i="3"/>
  <c r="E149" i="3"/>
  <c r="A149" i="3"/>
  <c r="E148" i="3"/>
  <c r="A148" i="3"/>
  <c r="E147" i="3"/>
  <c r="A147" i="3"/>
  <c r="E146" i="3"/>
  <c r="A146" i="3"/>
  <c r="E145" i="3"/>
  <c r="A145" i="3"/>
  <c r="E144" i="3"/>
  <c r="A144" i="3"/>
  <c r="E143" i="3"/>
  <c r="A143" i="3"/>
  <c r="E142" i="3"/>
  <c r="A142" i="3"/>
  <c r="E141" i="3"/>
  <c r="A141" i="3"/>
  <c r="E140" i="3"/>
  <c r="A140" i="3"/>
  <c r="E139" i="3"/>
  <c r="A139" i="3"/>
  <c r="E138" i="3"/>
  <c r="A138" i="3"/>
  <c r="E137" i="3"/>
  <c r="A137" i="3"/>
  <c r="E136" i="3"/>
  <c r="A136" i="3"/>
  <c r="E135" i="3"/>
  <c r="A135" i="3"/>
  <c r="E134" i="3"/>
  <c r="A134" i="3"/>
  <c r="E133" i="3"/>
  <c r="A133" i="3"/>
  <c r="E132" i="3"/>
  <c r="A132" i="3"/>
  <c r="E131" i="3"/>
  <c r="A131" i="3"/>
  <c r="E130" i="3"/>
  <c r="A130" i="3"/>
  <c r="E129" i="3"/>
  <c r="A129" i="3"/>
  <c r="E128" i="3"/>
  <c r="A128" i="3"/>
  <c r="E127" i="3"/>
  <c r="A127" i="3"/>
  <c r="E126" i="3"/>
  <c r="A126" i="3"/>
  <c r="E125" i="3"/>
  <c r="A125" i="3"/>
  <c r="E124" i="3"/>
  <c r="A124" i="3"/>
  <c r="E123" i="3"/>
  <c r="A123" i="3"/>
  <c r="E122" i="3"/>
  <c r="A122" i="3"/>
  <c r="E121" i="3"/>
  <c r="A121" i="3"/>
  <c r="E120" i="3"/>
  <c r="A120" i="3"/>
  <c r="E119" i="3"/>
  <c r="A119" i="3"/>
  <c r="E118" i="3"/>
  <c r="A118" i="3"/>
  <c r="E117" i="3"/>
  <c r="A117" i="3"/>
  <c r="E116" i="3"/>
  <c r="A116" i="3"/>
  <c r="E115" i="3"/>
  <c r="A115" i="3"/>
  <c r="E114" i="3"/>
  <c r="A114" i="3"/>
  <c r="E113" i="3"/>
  <c r="A113" i="3"/>
  <c r="E112" i="3"/>
  <c r="A112" i="3"/>
  <c r="E111" i="3"/>
  <c r="A111" i="3"/>
  <c r="E110" i="3"/>
  <c r="A110" i="3"/>
  <c r="E109" i="3"/>
  <c r="A109" i="3"/>
  <c r="E108" i="3"/>
  <c r="A108" i="3"/>
  <c r="E107" i="3"/>
  <c r="A107" i="3"/>
  <c r="E106" i="3"/>
  <c r="A106" i="3"/>
  <c r="E105" i="3"/>
  <c r="A105" i="3"/>
  <c r="E104" i="3"/>
  <c r="A104" i="3"/>
  <c r="E103" i="3"/>
  <c r="A103" i="3"/>
  <c r="E102" i="3"/>
  <c r="A102" i="3"/>
  <c r="E101" i="3"/>
  <c r="A101" i="3"/>
  <c r="E100" i="3"/>
  <c r="A100" i="3"/>
  <c r="E99" i="3"/>
  <c r="A99" i="3"/>
  <c r="E98" i="3"/>
  <c r="A98" i="3"/>
  <c r="E97" i="3"/>
  <c r="A97" i="3"/>
  <c r="E96" i="3"/>
  <c r="A96" i="3"/>
  <c r="E95" i="3"/>
  <c r="A95" i="3"/>
  <c r="E94" i="3"/>
  <c r="A94" i="3"/>
  <c r="E93" i="3"/>
  <c r="A93" i="3"/>
  <c r="E92" i="3"/>
  <c r="A92" i="3"/>
  <c r="E91" i="3"/>
  <c r="A91" i="3"/>
  <c r="E90" i="3"/>
  <c r="A90" i="3"/>
  <c r="E89" i="3"/>
  <c r="A89" i="3"/>
  <c r="E88" i="3"/>
  <c r="A88" i="3"/>
  <c r="E87" i="3"/>
  <c r="A87" i="3"/>
  <c r="E86" i="3"/>
  <c r="A86" i="3"/>
  <c r="E85" i="3"/>
  <c r="A85" i="3"/>
  <c r="E84" i="3"/>
  <c r="A84" i="3"/>
  <c r="E83" i="3"/>
  <c r="A83" i="3"/>
  <c r="E82" i="3"/>
  <c r="A82" i="3"/>
  <c r="E81" i="3"/>
  <c r="A81" i="3"/>
  <c r="E80" i="3"/>
  <c r="A80" i="3"/>
  <c r="E79" i="3"/>
  <c r="A79" i="3"/>
  <c r="E78" i="3"/>
  <c r="A78" i="3"/>
  <c r="E77" i="3"/>
  <c r="A77" i="3"/>
  <c r="E76" i="3"/>
  <c r="A76" i="3"/>
  <c r="E75" i="3"/>
  <c r="A75" i="3"/>
  <c r="E74" i="3"/>
  <c r="A74" i="3"/>
  <c r="E73" i="3"/>
  <c r="A73" i="3"/>
  <c r="E72" i="3"/>
  <c r="A72" i="3"/>
  <c r="E71" i="3"/>
  <c r="A71" i="3"/>
  <c r="E70" i="3"/>
  <c r="A70" i="3"/>
  <c r="E69" i="3"/>
  <c r="A69" i="3"/>
  <c r="E68" i="3"/>
  <c r="A68" i="3"/>
  <c r="E67" i="3"/>
  <c r="A67" i="3"/>
  <c r="E66" i="3"/>
  <c r="A66" i="3"/>
  <c r="E65" i="3"/>
  <c r="A65" i="3"/>
  <c r="E64" i="3"/>
  <c r="A64" i="3"/>
  <c r="E63" i="3"/>
  <c r="A63" i="3"/>
  <c r="E62" i="3"/>
  <c r="A62" i="3"/>
  <c r="E61" i="3"/>
  <c r="A61" i="3"/>
  <c r="E60" i="3"/>
  <c r="A60" i="3"/>
  <c r="E59" i="3"/>
  <c r="A59" i="3"/>
  <c r="E58" i="3"/>
  <c r="A58" i="3"/>
  <c r="E57" i="3"/>
  <c r="A57" i="3"/>
  <c r="E56" i="3"/>
  <c r="A56" i="3"/>
  <c r="E55" i="3"/>
  <c r="A55" i="3"/>
  <c r="E54" i="3"/>
  <c r="A54" i="3"/>
  <c r="E53" i="3"/>
  <c r="A53" i="3"/>
  <c r="E52" i="3"/>
  <c r="A52" i="3"/>
  <c r="E51" i="3"/>
  <c r="A51" i="3"/>
  <c r="E50" i="3"/>
  <c r="A50" i="3"/>
  <c r="E49" i="3"/>
  <c r="A49" i="3"/>
  <c r="E48" i="3"/>
  <c r="A48" i="3"/>
  <c r="E47" i="3"/>
  <c r="A47" i="3"/>
  <c r="E46" i="3"/>
  <c r="A46" i="3"/>
  <c r="E45" i="3"/>
  <c r="A45" i="3"/>
  <c r="E44" i="3"/>
  <c r="A44" i="3"/>
  <c r="E43" i="3"/>
  <c r="A43" i="3"/>
  <c r="E42" i="3"/>
  <c r="A42" i="3"/>
  <c r="E41" i="3"/>
  <c r="A41" i="3"/>
  <c r="E40" i="3"/>
  <c r="A40" i="3"/>
  <c r="E39" i="3"/>
  <c r="A39" i="3"/>
  <c r="E38" i="3"/>
  <c r="A38" i="3"/>
  <c r="E37" i="3"/>
  <c r="A37" i="3"/>
  <c r="E36" i="3"/>
  <c r="A36" i="3"/>
  <c r="E35" i="3"/>
  <c r="A35" i="3"/>
  <c r="E34" i="3"/>
  <c r="A34" i="3"/>
  <c r="E33" i="3"/>
  <c r="A33" i="3"/>
  <c r="E32" i="3"/>
  <c r="A32" i="3"/>
  <c r="E31" i="3"/>
  <c r="A31" i="3"/>
  <c r="E30" i="3"/>
  <c r="A30" i="3"/>
  <c r="E29" i="3"/>
  <c r="A29" i="3"/>
  <c r="E28" i="3"/>
  <c r="A28" i="3"/>
  <c r="E27" i="3"/>
  <c r="A27" i="3"/>
  <c r="E26" i="3"/>
  <c r="A26" i="3"/>
  <c r="E25" i="3"/>
  <c r="A25" i="3"/>
  <c r="E24" i="3"/>
  <c r="A24" i="3"/>
  <c r="E23" i="3"/>
  <c r="A23" i="3"/>
  <c r="E22" i="3"/>
  <c r="A22" i="3"/>
  <c r="E21" i="3"/>
  <c r="A21" i="3"/>
  <c r="E20" i="3"/>
  <c r="A20" i="3"/>
  <c r="E19" i="3"/>
  <c r="A19" i="3"/>
  <c r="E18" i="3"/>
  <c r="A18" i="3"/>
  <c r="E17" i="3"/>
  <c r="A17" i="3"/>
  <c r="E16" i="3"/>
  <c r="A16" i="3"/>
  <c r="E15" i="3"/>
  <c r="A15" i="3"/>
  <c r="E14" i="3"/>
  <c r="A14" i="3"/>
  <c r="E13" i="3"/>
  <c r="A13" i="3"/>
  <c r="E12" i="3"/>
  <c r="A12" i="3"/>
  <c r="E11" i="3"/>
  <c r="A11" i="3"/>
  <c r="E10" i="3"/>
  <c r="A10" i="3"/>
  <c r="E9" i="3"/>
  <c r="A9" i="3"/>
  <c r="E8" i="3"/>
  <c r="A8" i="3"/>
  <c r="E7" i="3"/>
  <c r="A7" i="3"/>
  <c r="E6" i="3"/>
  <c r="A6" i="3"/>
  <c r="E5" i="3"/>
  <c r="A5" i="3"/>
  <c r="E4" i="3"/>
  <c r="A4" i="3"/>
  <c r="E3" i="3"/>
  <c r="A3" i="3"/>
  <c r="E2" i="3"/>
  <c r="A2" i="3"/>
  <c r="N189" i="1"/>
  <c r="J189" i="1"/>
  <c r="N188" i="1"/>
  <c r="J188" i="1"/>
  <c r="N187" i="1"/>
  <c r="J187" i="1"/>
  <c r="N186" i="1"/>
  <c r="J186" i="1"/>
  <c r="N185" i="1"/>
  <c r="J185" i="1"/>
  <c r="N184" i="1"/>
  <c r="J184" i="1"/>
  <c r="N183" i="1"/>
  <c r="J183" i="1"/>
  <c r="N182" i="1"/>
  <c r="J182" i="1"/>
  <c r="N181" i="1"/>
  <c r="J181" i="1"/>
  <c r="N180" i="1"/>
  <c r="J180" i="1"/>
  <c r="N179" i="1"/>
  <c r="J179" i="1"/>
  <c r="N178" i="1"/>
  <c r="J178" i="1"/>
  <c r="N177" i="1"/>
  <c r="J177" i="1"/>
  <c r="N176" i="1"/>
  <c r="J176" i="1"/>
  <c r="N175" i="1"/>
  <c r="J175" i="1"/>
  <c r="N174" i="1"/>
  <c r="J174" i="1"/>
  <c r="N173" i="1"/>
  <c r="J173" i="1"/>
  <c r="N172" i="1"/>
  <c r="J172" i="1"/>
  <c r="N171" i="1"/>
  <c r="J171" i="1"/>
  <c r="N169" i="1"/>
  <c r="J169" i="1"/>
  <c r="N168" i="1"/>
  <c r="J168" i="1"/>
  <c r="N167" i="1"/>
  <c r="J167" i="1"/>
  <c r="N166" i="1"/>
  <c r="J166" i="1"/>
  <c r="N165" i="1"/>
  <c r="J165" i="1"/>
  <c r="N164" i="1"/>
  <c r="J164" i="1"/>
  <c r="N163" i="1"/>
  <c r="J163" i="1"/>
  <c r="N162" i="1"/>
  <c r="J162" i="1"/>
  <c r="N161" i="1"/>
  <c r="J161" i="1"/>
  <c r="N160" i="1"/>
  <c r="J160" i="1"/>
  <c r="N159" i="1"/>
  <c r="J159" i="1"/>
  <c r="N158" i="1"/>
  <c r="J158" i="1"/>
  <c r="N157" i="1"/>
  <c r="J157" i="1"/>
  <c r="N156" i="1"/>
  <c r="J156" i="1"/>
  <c r="N155" i="1"/>
  <c r="J155" i="1"/>
  <c r="N154" i="1"/>
  <c r="J154" i="1"/>
  <c r="N153" i="1"/>
  <c r="J153" i="1"/>
  <c r="N152" i="1"/>
  <c r="J152" i="1"/>
  <c r="N151" i="1"/>
  <c r="J151" i="1"/>
  <c r="N150" i="1"/>
  <c r="J150" i="1"/>
  <c r="N149" i="1"/>
  <c r="J149" i="1"/>
  <c r="N148" i="1"/>
  <c r="J148" i="1"/>
  <c r="N147" i="1"/>
  <c r="J147" i="1"/>
  <c r="N146" i="1"/>
  <c r="J146" i="1"/>
  <c r="N145" i="1"/>
  <c r="J145" i="1"/>
  <c r="N144" i="1"/>
  <c r="J144" i="1"/>
  <c r="N143" i="1"/>
  <c r="J143" i="1"/>
  <c r="N142" i="1"/>
  <c r="J142" i="1"/>
  <c r="N141" i="1"/>
  <c r="J141" i="1"/>
  <c r="N140" i="1"/>
  <c r="J140" i="1"/>
  <c r="N139" i="1"/>
  <c r="J139" i="1"/>
  <c r="N138" i="1"/>
  <c r="J138" i="1"/>
  <c r="N137" i="1"/>
  <c r="J137" i="1"/>
  <c r="N136" i="1"/>
  <c r="J136" i="1"/>
  <c r="N135" i="1"/>
  <c r="J135" i="1"/>
  <c r="N134" i="1"/>
  <c r="J134" i="1"/>
  <c r="N133" i="1"/>
  <c r="J133" i="1"/>
  <c r="N132" i="1"/>
  <c r="J132" i="1"/>
  <c r="N131" i="1"/>
  <c r="J131" i="1"/>
  <c r="N130" i="1"/>
  <c r="J130" i="1"/>
  <c r="N129" i="1"/>
  <c r="J129" i="1"/>
  <c r="N128" i="1"/>
  <c r="J128" i="1"/>
  <c r="N127" i="1"/>
  <c r="J127" i="1"/>
  <c r="N126" i="1"/>
  <c r="J126" i="1"/>
  <c r="N125" i="1"/>
  <c r="J125" i="1"/>
  <c r="N124" i="1"/>
  <c r="J124" i="1"/>
  <c r="N123" i="1"/>
  <c r="J123" i="1"/>
  <c r="N122" i="1"/>
  <c r="J122" i="1"/>
  <c r="N121" i="1"/>
  <c r="J121" i="1"/>
  <c r="N120" i="1"/>
  <c r="J120" i="1"/>
  <c r="N119" i="1"/>
  <c r="J119" i="1"/>
  <c r="N118" i="1"/>
  <c r="J118" i="1"/>
  <c r="N117" i="1"/>
  <c r="J117" i="1"/>
  <c r="N116" i="1"/>
  <c r="J116" i="1"/>
  <c r="N115" i="1"/>
  <c r="J115" i="1"/>
  <c r="N114" i="1"/>
  <c r="J114" i="1"/>
  <c r="N113" i="1"/>
  <c r="J113" i="1"/>
  <c r="N112" i="1"/>
  <c r="J112" i="1"/>
  <c r="N111" i="1"/>
  <c r="J111" i="1"/>
  <c r="N110" i="1"/>
  <c r="J110" i="1"/>
  <c r="N109" i="1"/>
  <c r="J109" i="1"/>
  <c r="N108" i="1"/>
  <c r="J108" i="1"/>
  <c r="N107" i="1"/>
  <c r="J107" i="1"/>
  <c r="N106" i="1"/>
  <c r="J106" i="1"/>
  <c r="N105" i="1"/>
  <c r="J105" i="1"/>
  <c r="N104" i="1"/>
  <c r="J104" i="1"/>
  <c r="N103" i="1"/>
  <c r="J103" i="1"/>
  <c r="N102" i="1"/>
  <c r="J102" i="1"/>
  <c r="N101" i="1"/>
  <c r="J101" i="1"/>
  <c r="N100" i="1"/>
  <c r="J100" i="1"/>
  <c r="N99" i="1"/>
  <c r="J99" i="1"/>
  <c r="N98" i="1"/>
  <c r="J98" i="1"/>
  <c r="N97" i="1"/>
  <c r="J97" i="1"/>
  <c r="N96" i="1"/>
  <c r="J96" i="1"/>
  <c r="N95" i="1"/>
  <c r="J95" i="1"/>
  <c r="N94" i="1"/>
  <c r="J94" i="1"/>
  <c r="N93" i="1"/>
  <c r="J93" i="1"/>
  <c r="N92" i="1"/>
  <c r="J92" i="1"/>
  <c r="N91" i="1"/>
  <c r="J91" i="1"/>
  <c r="N90" i="1"/>
  <c r="J90" i="1"/>
  <c r="N89" i="1"/>
  <c r="J89" i="1"/>
  <c r="N88" i="1"/>
  <c r="J88" i="1"/>
  <c r="N87" i="1"/>
  <c r="J87" i="1"/>
  <c r="N86" i="1"/>
  <c r="J86" i="1"/>
  <c r="N85" i="1"/>
  <c r="J85" i="1"/>
  <c r="N84" i="1"/>
  <c r="J84" i="1"/>
  <c r="N83" i="1"/>
  <c r="J83" i="1"/>
  <c r="N82" i="1"/>
  <c r="J82" i="1"/>
  <c r="N81" i="1"/>
  <c r="J81" i="1"/>
  <c r="N80" i="1"/>
  <c r="J80" i="1"/>
  <c r="N79" i="1"/>
  <c r="J79" i="1"/>
  <c r="N78" i="1"/>
  <c r="J78" i="1"/>
  <c r="N77" i="1"/>
  <c r="J77" i="1"/>
  <c r="N76" i="1"/>
  <c r="J76" i="1"/>
  <c r="N75" i="1"/>
  <c r="J75" i="1"/>
  <c r="N74" i="1"/>
  <c r="J74" i="1"/>
  <c r="N73" i="1"/>
  <c r="J73" i="1"/>
  <c r="N72" i="1"/>
  <c r="J72" i="1"/>
  <c r="N71" i="1"/>
  <c r="J71" i="1"/>
  <c r="N70" i="1"/>
  <c r="J70" i="1"/>
  <c r="N69" i="1"/>
  <c r="J69" i="1"/>
  <c r="N68" i="1"/>
  <c r="J68" i="1"/>
  <c r="N67" i="1"/>
  <c r="J67" i="1"/>
  <c r="N66" i="1"/>
  <c r="J66" i="1"/>
  <c r="N65" i="1"/>
  <c r="J65" i="1"/>
  <c r="N64" i="1"/>
  <c r="J64" i="1"/>
  <c r="N63" i="1"/>
  <c r="J63" i="1"/>
  <c r="N62" i="1"/>
  <c r="J62" i="1"/>
  <c r="N61" i="1"/>
  <c r="J61" i="1"/>
  <c r="N60" i="1"/>
  <c r="J60" i="1"/>
  <c r="N59" i="1"/>
  <c r="J59" i="1"/>
  <c r="N58" i="1"/>
  <c r="J58" i="1"/>
  <c r="N57" i="1"/>
  <c r="J57" i="1"/>
  <c r="N56" i="1"/>
  <c r="J56" i="1"/>
  <c r="N55" i="1"/>
  <c r="J55" i="1"/>
  <c r="N54" i="1"/>
  <c r="J54" i="1"/>
  <c r="N53" i="1"/>
  <c r="J53" i="1"/>
  <c r="N52" i="1"/>
  <c r="J52" i="1"/>
  <c r="N51" i="1"/>
  <c r="J51" i="1"/>
  <c r="N50" i="1"/>
  <c r="J50" i="1"/>
  <c r="N49" i="1"/>
  <c r="J49" i="1"/>
  <c r="N48" i="1"/>
  <c r="J48" i="1"/>
  <c r="N47" i="1"/>
  <c r="J47" i="1"/>
  <c r="N46" i="1"/>
  <c r="J46" i="1"/>
  <c r="N45" i="1"/>
  <c r="J45" i="1"/>
  <c r="N44" i="1"/>
  <c r="J44" i="1"/>
  <c r="N43" i="1"/>
  <c r="J43" i="1"/>
  <c r="N42" i="1"/>
  <c r="J42" i="1"/>
  <c r="N41" i="1"/>
  <c r="J41" i="1"/>
  <c r="N40" i="1"/>
  <c r="J40" i="1"/>
  <c r="N39" i="1"/>
  <c r="J39" i="1"/>
  <c r="N38" i="1"/>
  <c r="J38" i="1"/>
  <c r="N37" i="1"/>
  <c r="J37" i="1"/>
  <c r="N36" i="1"/>
  <c r="J36" i="1"/>
  <c r="N35" i="1"/>
  <c r="J35" i="1"/>
  <c r="N34" i="1"/>
  <c r="J34" i="1"/>
  <c r="N33" i="1"/>
  <c r="J33" i="1"/>
  <c r="N32" i="1"/>
  <c r="J32" i="1"/>
  <c r="N31" i="1"/>
  <c r="J31" i="1"/>
  <c r="N30" i="1"/>
  <c r="J30" i="1"/>
  <c r="N29" i="1"/>
  <c r="J29" i="1"/>
  <c r="N28" i="1"/>
  <c r="J28" i="1"/>
  <c r="N27" i="1"/>
  <c r="J27" i="1"/>
  <c r="N26" i="1"/>
  <c r="J26" i="1"/>
  <c r="N25" i="1"/>
  <c r="J25" i="1"/>
  <c r="N24" i="1"/>
  <c r="J24" i="1"/>
  <c r="N23" i="1"/>
  <c r="J23" i="1"/>
  <c r="N22" i="1"/>
  <c r="J22" i="1"/>
  <c r="N21" i="1"/>
  <c r="J21" i="1"/>
  <c r="N20" i="1"/>
  <c r="J20" i="1"/>
  <c r="N19" i="1"/>
  <c r="J19" i="1"/>
  <c r="N18" i="1"/>
  <c r="J18" i="1"/>
  <c r="N17" i="1"/>
  <c r="J17" i="1"/>
  <c r="N16" i="1"/>
  <c r="J16" i="1"/>
  <c r="N15" i="1"/>
  <c r="J15" i="1"/>
  <c r="N14" i="1"/>
  <c r="J14" i="1"/>
  <c r="N13" i="1"/>
  <c r="J13" i="1"/>
  <c r="N12" i="1"/>
  <c r="J12" i="1"/>
  <c r="N11" i="1"/>
  <c r="J11" i="1"/>
  <c r="N10" i="1"/>
  <c r="J10" i="1"/>
  <c r="N9" i="1"/>
  <c r="J9" i="1"/>
  <c r="N8" i="1"/>
  <c r="J8" i="1"/>
  <c r="N7" i="1"/>
  <c r="J7" i="1"/>
  <c r="N6" i="1"/>
  <c r="J6" i="1"/>
  <c r="N5" i="1"/>
  <c r="J5" i="1"/>
  <c r="N4" i="1"/>
  <c r="J4" i="1"/>
  <c r="N3" i="1"/>
  <c r="J3" i="1"/>
  <c r="N2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Corrine</author>
    <author>Lzl-Corrine</author>
  </authors>
  <commentList>
    <comment ref="D1" authorId="0" shapeId="0" xr:uid="{8648D5DB-CEE3-4920-9E61-33AA226E114C}">
      <text>
        <r>
          <rPr>
            <b/>
            <sz val="9"/>
            <rFont val="宋体"/>
            <family val="3"/>
            <charset val="134"/>
          </rPr>
          <t>0：No history of ovarian, breast, or other cancers
1：Family history of ovarian or breast cancers
2：Family history of endometrial or cervical cancers</t>
        </r>
      </text>
    </comment>
    <comment ref="F1" authorId="1" shapeId="0" xr:uid="{58F2D762-14F9-4EE8-A226-21C0F1DE8004}">
      <text>
        <r>
          <rPr>
            <b/>
            <sz val="9"/>
            <color indexed="81"/>
            <rFont val="宋体"/>
            <family val="3"/>
            <charset val="134"/>
          </rPr>
          <t>Lzl-Corrine:</t>
        </r>
        <r>
          <rPr>
            <sz val="9"/>
            <color indexed="81"/>
            <rFont val="宋体"/>
            <family val="3"/>
            <charset val="134"/>
          </rPr>
          <t xml:space="preserve">
NA:HE4 test not performed</t>
        </r>
      </text>
    </comment>
    <comment ref="G1" authorId="1" shapeId="0" xr:uid="{1545FA86-3FE0-49C9-978C-A0F1627C5251}">
      <text>
        <r>
          <rPr>
            <b/>
            <sz val="9"/>
            <color indexed="81"/>
            <rFont val="宋体"/>
            <family val="3"/>
            <charset val="134"/>
          </rPr>
          <t>Lzl-Corrine:</t>
        </r>
        <r>
          <rPr>
            <sz val="9"/>
            <color indexed="81"/>
            <rFont val="宋体"/>
            <family val="3"/>
            <charset val="134"/>
          </rPr>
          <t xml:space="preserve">
0：No
1: Yes</t>
        </r>
      </text>
    </comment>
    <comment ref="I1" authorId="1" shapeId="0" xr:uid="{3E0EBF5F-D8DB-4CA6-8524-4BCE63C59872}">
      <text>
        <r>
          <rPr>
            <b/>
            <sz val="9"/>
            <color indexed="81"/>
            <rFont val="宋体"/>
            <family val="3"/>
            <charset val="134"/>
          </rPr>
          <t>Lzl-Corrine: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"/>
            <family val="2"/>
          </rPr>
          <t>0:Premenopausal
1:Postmenopausal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Corrine</author>
    <author>Lzl-Corrine</author>
  </authors>
  <commentList>
    <comment ref="D1" authorId="0" shapeId="0" xr:uid="{B7F30633-46D0-49D6-8E73-C8BE638C30FE}">
      <text>
        <r>
          <rPr>
            <b/>
            <sz val="9"/>
            <rFont val="宋体"/>
            <family val="3"/>
            <charset val="134"/>
          </rPr>
          <t>0：No history of ovarian, breast, or other cancers
1：Family history of ovarian or breast cancers
2：Family history of endometrial or cervical cancers</t>
        </r>
      </text>
    </comment>
    <comment ref="F1" authorId="1" shapeId="0" xr:uid="{82AD55CC-8D08-47FC-B1BC-EFC7845BC378}">
      <text>
        <r>
          <rPr>
            <b/>
            <sz val="9"/>
            <color indexed="81"/>
            <rFont val="宋体"/>
            <family val="3"/>
            <charset val="134"/>
          </rPr>
          <t>Lzl-Corrine:</t>
        </r>
        <r>
          <rPr>
            <sz val="9"/>
            <color indexed="81"/>
            <rFont val="宋体"/>
            <family val="3"/>
            <charset val="134"/>
          </rPr>
          <t xml:space="preserve">
NA:HE4 test not performed</t>
        </r>
      </text>
    </comment>
    <comment ref="G1" authorId="1" shapeId="0" xr:uid="{DCBEBA4C-A8E1-4A8A-9A6D-23065D86BB3A}">
      <text>
        <r>
          <rPr>
            <b/>
            <sz val="9"/>
            <color indexed="81"/>
            <rFont val="宋体"/>
            <family val="3"/>
            <charset val="134"/>
          </rPr>
          <t>Lzl-Corrine:</t>
        </r>
        <r>
          <rPr>
            <sz val="9"/>
            <color indexed="81"/>
            <rFont val="宋体"/>
            <family val="3"/>
            <charset val="134"/>
          </rPr>
          <t xml:space="preserve">
0：No
1: Yes</t>
        </r>
      </text>
    </comment>
    <comment ref="I1" authorId="1" shapeId="0" xr:uid="{B79FB019-0D42-4C28-B36F-DB7A64158FDE}">
      <text>
        <r>
          <rPr>
            <b/>
            <sz val="9"/>
            <color indexed="81"/>
            <rFont val="宋体"/>
            <family val="3"/>
            <charset val="134"/>
          </rPr>
          <t>Lzl-Corrine: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"/>
            <family val="2"/>
          </rPr>
          <t>0:Premenopausal
1:Postmenopausal</t>
        </r>
      </text>
    </comment>
  </commentList>
</comments>
</file>

<file path=xl/sharedStrings.xml><?xml version="1.0" encoding="utf-8"?>
<sst xmlns="http://schemas.openxmlformats.org/spreadsheetml/2006/main" count="502" uniqueCount="88">
  <si>
    <t>ID</t>
    <phoneticPr fontId="3" type="noConversion"/>
  </si>
  <si>
    <t>生育次数</t>
  </si>
  <si>
    <t>剖产次</t>
  </si>
  <si>
    <t>顺产次</t>
  </si>
  <si>
    <t>流产次数</t>
  </si>
  <si>
    <t>妊娠次数</t>
  </si>
  <si>
    <t>Preoperative serum CA125 (U/ML)</t>
  </si>
  <si>
    <t>NA</t>
  </si>
  <si>
    <t>age</t>
    <phoneticPr fontId="3" type="noConversion"/>
  </si>
  <si>
    <t>BMI</t>
    <phoneticPr fontId="3" type="noConversion"/>
  </si>
  <si>
    <t>Family History</t>
    <phoneticPr fontId="3" type="noConversion"/>
  </si>
  <si>
    <t>Abnormal vaginal bleeding</t>
    <phoneticPr fontId="3" type="noConversion"/>
  </si>
  <si>
    <t>Menarcheal age</t>
    <phoneticPr fontId="3" type="noConversion"/>
  </si>
  <si>
    <t>Menopausal status</t>
    <phoneticPr fontId="3" type="noConversion"/>
  </si>
  <si>
    <t>Parity</t>
    <phoneticPr fontId="3" type="noConversion"/>
  </si>
  <si>
    <t>Number of cesarean deliveries</t>
    <phoneticPr fontId="3" type="noConversion"/>
  </si>
  <si>
    <t>Number of vaginal deliveries</t>
    <phoneticPr fontId="3" type="noConversion"/>
  </si>
  <si>
    <t>Number of abortions</t>
    <phoneticPr fontId="3" type="noConversion"/>
  </si>
  <si>
    <t>Gravidity</t>
    <phoneticPr fontId="3" type="noConversion"/>
  </si>
  <si>
    <t>FIGO staging of ovarian cancer</t>
    <phoneticPr fontId="3" type="noConversion"/>
  </si>
  <si>
    <t>NA</t>
    <phoneticPr fontId="3" type="noConversion"/>
  </si>
  <si>
    <t>IC (T1cN0M0)</t>
    <phoneticPr fontId="3" type="noConversion"/>
  </si>
  <si>
    <t>IIIA1</t>
    <phoneticPr fontId="3" type="noConversion"/>
  </si>
  <si>
    <t>IIIB</t>
  </si>
  <si>
    <t>IIIB</t>
    <phoneticPr fontId="3" type="noConversion"/>
  </si>
  <si>
    <t>IV</t>
    <phoneticPr fontId="3" type="noConversion"/>
  </si>
  <si>
    <t>IVB</t>
    <phoneticPr fontId="3" type="noConversion"/>
  </si>
  <si>
    <t>IA</t>
    <phoneticPr fontId="3" type="noConversion"/>
  </si>
  <si>
    <t>IIIA</t>
    <phoneticPr fontId="3" type="noConversion"/>
  </si>
  <si>
    <t>IIIC</t>
    <phoneticPr fontId="3" type="noConversion"/>
  </si>
  <si>
    <t>IC1</t>
    <phoneticPr fontId="3" type="noConversion"/>
  </si>
  <si>
    <t>IC</t>
    <phoneticPr fontId="3" type="noConversion"/>
  </si>
  <si>
    <t>IIB</t>
    <phoneticPr fontId="3" type="noConversion"/>
  </si>
  <si>
    <t>IIA</t>
    <phoneticPr fontId="3" type="noConversion"/>
  </si>
  <si>
    <t>IIIA2</t>
    <phoneticPr fontId="3" type="noConversion"/>
  </si>
  <si>
    <t xml:space="preserve">IIIA2 </t>
    <phoneticPr fontId="3" type="noConversion"/>
  </si>
  <si>
    <t>I</t>
    <phoneticPr fontId="3" type="noConversion"/>
  </si>
  <si>
    <t>IC2</t>
    <phoneticPr fontId="3" type="noConversion"/>
  </si>
  <si>
    <t>IVA</t>
    <phoneticPr fontId="3" type="noConversion"/>
  </si>
  <si>
    <t>IC1(T1cN0M0)</t>
    <phoneticPr fontId="3" type="noConversion"/>
  </si>
  <si>
    <t>IIIC (T3cN1M0)</t>
    <phoneticPr fontId="3" type="noConversion"/>
  </si>
  <si>
    <t>IIB (T2bN0M0)</t>
    <phoneticPr fontId="3" type="noConversion"/>
  </si>
  <si>
    <t>Preoperative serum HE4 (pmol/L)</t>
  </si>
  <si>
    <t>IIIC (T3cN0M0)</t>
    <phoneticPr fontId="3" type="noConversion"/>
  </si>
  <si>
    <t>IA (T1aN0M0)</t>
    <phoneticPr fontId="3" type="noConversion"/>
  </si>
  <si>
    <t>IIIB (T3bN1M0)</t>
    <phoneticPr fontId="3" type="noConversion"/>
  </si>
  <si>
    <t>IC1 (T1c1N0Mx)</t>
    <phoneticPr fontId="3" type="noConversion"/>
  </si>
  <si>
    <t>IVB (T3aN1M1)</t>
    <phoneticPr fontId="3" type="noConversion"/>
  </si>
  <si>
    <t>IIA (T2aNxM0)</t>
    <phoneticPr fontId="3" type="noConversion"/>
  </si>
  <si>
    <t>IVB (T4bNxM0)</t>
    <phoneticPr fontId="3" type="noConversion"/>
  </si>
  <si>
    <t>IIIC (T3cNxM0)</t>
    <phoneticPr fontId="3" type="noConversion"/>
  </si>
  <si>
    <t>IIIB (T3bN0M0)</t>
    <phoneticPr fontId="3" type="noConversion"/>
  </si>
  <si>
    <r>
      <rPr>
        <sz val="10"/>
        <color theme="1"/>
        <rFont val="微软雅黑"/>
        <family val="2"/>
        <charset val="134"/>
      </rPr>
      <t>Ⅲ</t>
    </r>
    <r>
      <rPr>
        <sz val="10"/>
        <color theme="1"/>
        <rFont val="Arial"/>
        <family val="2"/>
      </rPr>
      <t>C (T3cN1M1)</t>
    </r>
    <phoneticPr fontId="3" type="noConversion"/>
  </si>
  <si>
    <t>IA1 (T1aNxM0)</t>
    <phoneticPr fontId="3" type="noConversion"/>
  </si>
  <si>
    <r>
      <rPr>
        <sz val="10"/>
        <color theme="1"/>
        <rFont val="微软雅黑"/>
        <family val="2"/>
        <charset val="134"/>
      </rPr>
      <t>Ⅲ</t>
    </r>
    <r>
      <rPr>
        <sz val="10"/>
        <color theme="1"/>
        <rFont val="Arial"/>
        <family val="2"/>
      </rPr>
      <t>C (T3cNxM1)</t>
    </r>
    <phoneticPr fontId="3" type="noConversion"/>
  </si>
  <si>
    <t>IC (T1cM0N0)</t>
    <phoneticPr fontId="3" type="noConversion"/>
  </si>
  <si>
    <t>IC2 (T1c2N0M0)</t>
    <phoneticPr fontId="3" type="noConversion"/>
  </si>
  <si>
    <t>IA (T1N0M0)</t>
    <phoneticPr fontId="3" type="noConversion"/>
  </si>
  <si>
    <t>IIB (T2aN0M0)</t>
    <phoneticPr fontId="3" type="noConversion"/>
  </si>
  <si>
    <t>IIIB (T3bNxM0)</t>
    <phoneticPr fontId="3" type="noConversion"/>
  </si>
  <si>
    <t>IIA (T2aN0M0)</t>
    <phoneticPr fontId="3" type="noConversion"/>
  </si>
  <si>
    <t>IIIA (T2N1M0)</t>
    <phoneticPr fontId="3" type="noConversion"/>
  </si>
  <si>
    <t>IIB (T2bNxM0)</t>
    <phoneticPr fontId="3" type="noConversion"/>
  </si>
  <si>
    <t>IC2 (T1cN0M0)</t>
    <phoneticPr fontId="3" type="noConversion"/>
  </si>
  <si>
    <t>IIIA2 (T3aN0M0)</t>
    <phoneticPr fontId="3" type="noConversion"/>
  </si>
  <si>
    <t>I (T1N0M0)</t>
    <phoneticPr fontId="3" type="noConversion"/>
  </si>
  <si>
    <t>IIIB (T3bN2M0)</t>
    <phoneticPr fontId="3" type="noConversion"/>
  </si>
  <si>
    <t>III (T3N0M0)</t>
    <phoneticPr fontId="3" type="noConversion"/>
  </si>
  <si>
    <t>IC1 (T1cN0M0)</t>
    <phoneticPr fontId="3" type="noConversion"/>
  </si>
  <si>
    <r>
      <rPr>
        <sz val="10"/>
        <color theme="1"/>
        <rFont val="微软雅黑"/>
        <family val="2"/>
        <charset val="134"/>
      </rPr>
      <t>Ⅱ</t>
    </r>
    <r>
      <rPr>
        <sz val="10"/>
        <color theme="1"/>
        <rFont val="Arial"/>
        <family val="2"/>
      </rPr>
      <t>B (T2bN0M0)</t>
    </r>
    <phoneticPr fontId="3" type="noConversion"/>
  </si>
  <si>
    <t>IC(T1cN0M0)</t>
    <phoneticPr fontId="3" type="noConversion"/>
  </si>
  <si>
    <t>IVB (T3cN1M1)</t>
    <phoneticPr fontId="3" type="noConversion"/>
  </si>
  <si>
    <t>IVB (T3cN0M1) </t>
    <phoneticPr fontId="3" type="noConversion"/>
  </si>
  <si>
    <t>IIIA1 (T2aN1M0)</t>
    <phoneticPr fontId="3" type="noConversion"/>
  </si>
  <si>
    <r>
      <t xml:space="preserve">IIB </t>
    </r>
    <r>
      <rPr>
        <sz val="10"/>
        <color theme="1"/>
        <rFont val="Arial"/>
        <family val="3"/>
      </rPr>
      <t>(</t>
    </r>
    <r>
      <rPr>
        <sz val="10"/>
        <color theme="1"/>
        <rFont val="Arial"/>
        <family val="2"/>
      </rPr>
      <t>T2bN0M0)</t>
    </r>
    <phoneticPr fontId="3" type="noConversion"/>
  </si>
  <si>
    <t>IIIA1 (T3N1M0)</t>
    <phoneticPr fontId="3" type="noConversion"/>
  </si>
  <si>
    <r>
      <t>IA (</t>
    </r>
    <r>
      <rPr>
        <sz val="10"/>
        <color theme="1"/>
        <rFont val="Arial"/>
        <family val="2"/>
      </rPr>
      <t>T1aN0M0</t>
    </r>
    <r>
      <rPr>
        <sz val="10"/>
        <color theme="1"/>
        <rFont val="Arial"/>
        <family val="3"/>
      </rPr>
      <t>)</t>
    </r>
    <phoneticPr fontId="3" type="noConversion"/>
  </si>
  <si>
    <r>
      <t xml:space="preserve">IIIC </t>
    </r>
    <r>
      <rPr>
        <sz val="10"/>
        <color theme="1"/>
        <rFont val="Arial"/>
        <family val="3"/>
      </rPr>
      <t>(</t>
    </r>
    <r>
      <rPr>
        <sz val="10"/>
        <color theme="1"/>
        <rFont val="Arial"/>
        <family val="2"/>
      </rPr>
      <t>T3cN1M0)</t>
    </r>
    <phoneticPr fontId="3" type="noConversion"/>
  </si>
  <si>
    <r>
      <t>IIIC</t>
    </r>
    <r>
      <rPr>
        <sz val="10"/>
        <color theme="1"/>
        <rFont val="Arial"/>
        <family val="2"/>
      </rPr>
      <t xml:space="preserve"> (T3cNxM0</t>
    </r>
    <r>
      <rPr>
        <sz val="10"/>
        <color theme="1"/>
        <rFont val="Arial"/>
        <family val="3"/>
      </rPr>
      <t>)</t>
    </r>
    <phoneticPr fontId="3" type="noConversion"/>
  </si>
  <si>
    <t>III (T3cN0M0)</t>
    <phoneticPr fontId="3" type="noConversion"/>
  </si>
  <si>
    <t>IC3 (T1cN0M0)</t>
    <phoneticPr fontId="3" type="noConversion"/>
  </si>
  <si>
    <t>IVB (T1cN0M1)</t>
    <phoneticPr fontId="3" type="noConversion"/>
  </si>
  <si>
    <r>
      <t xml:space="preserve">IC3 </t>
    </r>
    <r>
      <rPr>
        <sz val="10"/>
        <color theme="1"/>
        <rFont val="Arial"/>
        <family val="3"/>
      </rPr>
      <t>(</t>
    </r>
    <r>
      <rPr>
        <sz val="10"/>
        <color theme="1"/>
        <rFont val="Arial"/>
        <family val="2"/>
      </rPr>
      <t>T1cN0M0)</t>
    </r>
    <phoneticPr fontId="3" type="noConversion"/>
  </si>
  <si>
    <t>IIIA1 (T2N1M0)</t>
    <phoneticPr fontId="3" type="noConversion"/>
  </si>
  <si>
    <t>IC2 (T1cNxM0)</t>
    <phoneticPr fontId="3" type="noConversion"/>
  </si>
  <si>
    <t>IC2 (T1cNXM0)</t>
    <phoneticPr fontId="3" type="noConversion"/>
  </si>
  <si>
    <r>
      <t xml:space="preserve">IIIC </t>
    </r>
    <r>
      <rPr>
        <sz val="10"/>
        <color theme="1"/>
        <rFont val="Arial"/>
        <family val="2"/>
      </rPr>
      <t>(T3cNxMx</t>
    </r>
    <r>
      <rPr>
        <sz val="10"/>
        <color theme="1"/>
        <rFont val="Arial"/>
        <family val="3"/>
      </rPr>
      <t>)</t>
    </r>
    <phoneticPr fontId="3" type="noConversion"/>
  </si>
  <si>
    <t>IVB(T3cNxM1)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</si>
</sst>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_);[Red]\(0.00\)"/>
    <numFmt numFmtId="182" formatCode="0.00_ "/>
  </numFmts>
  <fonts count="23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9"/>
      <color rgb="FF7030A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b/>
      <sz val="9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9"/>
      <color indexed="81"/>
      <name val="Arial"/>
      <family val="2"/>
    </font>
    <font>
      <sz val="10"/>
      <color theme="1"/>
      <name val="Arial"/>
      <family val="3"/>
    </font>
    <font>
      <sz val="10"/>
      <color theme="1"/>
      <name val="Arial"/>
      <family val="3"/>
      <charset val="134"/>
    </font>
    <font>
      <sz val="10"/>
      <color theme="1"/>
      <name val="Arial"/>
      <family val="2"/>
      <charset val="134"/>
    </font>
    <font>
      <sz val="10"/>
      <color rgb="FF7030A0"/>
      <name val="等线"/>
      <family val="3"/>
      <charset val="134"/>
      <scheme val="minor"/>
    </font>
    <font>
      <sz val="11"/>
      <name val="Arial"/>
      <family val="2"/>
    </font>
    <font>
      <sz val="10"/>
      <color theme="9"/>
      <name val="等线"/>
      <family val="3"/>
      <charset val="134"/>
      <scheme val="minor"/>
    </font>
    <font>
      <sz val="10"/>
      <color theme="8"/>
      <name val="等线"/>
      <family val="3"/>
      <charset val="134"/>
      <scheme val="minor"/>
    </font>
    <font>
      <sz val="10"/>
      <color rgb="FF0070C0"/>
      <name val="等线"/>
      <family val="3"/>
      <charset val="134"/>
      <scheme val="minor"/>
    </font>
    <font>
      <sz val="10"/>
      <color rgb="FFFFC000"/>
      <name val="等线"/>
      <family val="3"/>
      <charset val="134"/>
      <scheme val="minor"/>
    </font>
    <font>
      <b/>
      <sz val="9"/>
      <color theme="8"/>
      <name val="等线"/>
      <family val="3"/>
      <charset val="134"/>
      <scheme val="minor"/>
    </font>
    <font>
      <b/>
      <sz val="9"/>
      <color rgb="FF0070C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  <xf numFmtId="182" fontId="9" fillId="0" borderId="0" xfId="0" applyNumberFormat="1" applyFont="1" applyFill="1" applyAlignment="1">
      <alignment horizontal="center" vertical="center" wrapText="1"/>
    </xf>
    <xf numFmtId="182" fontId="9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16" fillId="0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177" fontId="16" fillId="0" borderId="0" xfId="0" applyNumberFormat="1" applyFont="1" applyFill="1" applyAlignment="1">
      <alignment horizontal="center" vertical="center" wrapText="1"/>
    </xf>
    <xf numFmtId="0" fontId="0" fillId="0" borderId="0" xfId="0" applyFont="1">
      <alignment vertical="center"/>
    </xf>
    <xf numFmtId="0" fontId="16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4ED5-8227-456E-87C8-18BE6AD537A9}">
  <dimension ref="A1:O189"/>
  <sheetViews>
    <sheetView zoomScale="130" zoomScaleNormal="130" workbookViewId="0">
      <selection sqref="A1:XFD1"/>
    </sheetView>
  </sheetViews>
  <sheetFormatPr defaultRowHeight="15" x14ac:dyDescent="0.2"/>
  <cols>
    <col min="1" max="1" width="9" style="1"/>
    <col min="2" max="2" width="6.75" style="1" customWidth="1"/>
    <col min="3" max="3" width="11.875" style="8" customWidth="1"/>
    <col min="4" max="4" width="9.875" style="1" customWidth="1"/>
    <col min="5" max="5" width="15" style="1" customWidth="1"/>
    <col min="6" max="6" width="17.375" style="1" customWidth="1"/>
    <col min="7" max="7" width="11.5" style="1" customWidth="1"/>
    <col min="8" max="8" width="14" style="1" customWidth="1"/>
    <col min="9" max="9" width="12.375" style="1" customWidth="1"/>
    <col min="10" max="12" width="8" style="1" customWidth="1"/>
    <col min="13" max="14" width="7" style="1" customWidth="1"/>
    <col min="15" max="15" width="20.25" style="3" customWidth="1"/>
    <col min="16" max="16384" width="9" style="4"/>
  </cols>
  <sheetData>
    <row r="1" spans="1:15" ht="51" x14ac:dyDescent="0.2">
      <c r="A1" s="6" t="s">
        <v>0</v>
      </c>
      <c r="B1" s="6" t="s">
        <v>8</v>
      </c>
      <c r="C1" s="7" t="s">
        <v>9</v>
      </c>
      <c r="D1" s="6" t="s">
        <v>10</v>
      </c>
      <c r="E1" s="6" t="s">
        <v>6</v>
      </c>
      <c r="F1" s="6" t="s">
        <v>42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5" t="s">
        <v>19</v>
      </c>
    </row>
    <row r="2" spans="1:15" x14ac:dyDescent="0.2">
      <c r="A2" s="1">
        <v>1</v>
      </c>
      <c r="B2" s="1">
        <v>23</v>
      </c>
      <c r="C2" s="8">
        <v>18.818924310286427</v>
      </c>
      <c r="D2" s="1">
        <v>0</v>
      </c>
      <c r="E2" s="1">
        <v>262.3</v>
      </c>
      <c r="F2" s="1">
        <v>53.1</v>
      </c>
      <c r="G2" s="1">
        <v>0</v>
      </c>
      <c r="H2" s="1">
        <v>13</v>
      </c>
      <c r="I2" s="1">
        <v>0</v>
      </c>
      <c r="J2" s="1">
        <f>K2+L2</f>
        <v>0</v>
      </c>
      <c r="K2" s="1">
        <v>0</v>
      </c>
      <c r="L2" s="1">
        <v>0</v>
      </c>
      <c r="M2" s="1">
        <v>0</v>
      </c>
      <c r="N2" s="1">
        <f>M2+L2+K2</f>
        <v>0</v>
      </c>
      <c r="O2" s="3" t="s">
        <v>21</v>
      </c>
    </row>
    <row r="3" spans="1:15" x14ac:dyDescent="0.2">
      <c r="A3" s="1">
        <v>2</v>
      </c>
      <c r="B3" s="1">
        <v>58</v>
      </c>
      <c r="C3" s="8">
        <v>29.296874999999993</v>
      </c>
      <c r="D3" s="1">
        <v>0</v>
      </c>
      <c r="E3" s="1">
        <v>590.6</v>
      </c>
      <c r="F3" s="1" t="s">
        <v>20</v>
      </c>
      <c r="G3" s="1">
        <v>1</v>
      </c>
      <c r="H3" s="1">
        <v>13</v>
      </c>
      <c r="I3" s="1">
        <v>1</v>
      </c>
      <c r="J3" s="1">
        <f>K3+L3</f>
        <v>2</v>
      </c>
      <c r="K3" s="1">
        <v>0</v>
      </c>
      <c r="L3" s="1">
        <v>2</v>
      </c>
      <c r="M3" s="1">
        <v>4</v>
      </c>
      <c r="N3" s="1">
        <f>M3+L3+K3</f>
        <v>6</v>
      </c>
      <c r="O3" s="3" t="s">
        <v>43</v>
      </c>
    </row>
    <row r="4" spans="1:15" x14ac:dyDescent="0.2">
      <c r="A4" s="1">
        <v>3</v>
      </c>
      <c r="B4" s="1">
        <v>50</v>
      </c>
      <c r="C4" s="8">
        <v>21.484374999999996</v>
      </c>
      <c r="D4" s="1">
        <v>0</v>
      </c>
      <c r="E4" s="1">
        <v>26.7</v>
      </c>
      <c r="F4" s="1" t="s">
        <v>20</v>
      </c>
      <c r="G4" s="1">
        <v>0</v>
      </c>
      <c r="H4" s="1">
        <v>13</v>
      </c>
      <c r="I4" s="1">
        <v>0</v>
      </c>
      <c r="J4" s="1">
        <f>K4+L4</f>
        <v>2</v>
      </c>
      <c r="K4" s="1">
        <v>0</v>
      </c>
      <c r="L4" s="1">
        <v>2</v>
      </c>
      <c r="M4" s="1">
        <v>0</v>
      </c>
      <c r="N4" s="1">
        <f>M4+L4+K4</f>
        <v>2</v>
      </c>
      <c r="O4" s="3" t="s">
        <v>44</v>
      </c>
    </row>
    <row r="5" spans="1:15" x14ac:dyDescent="0.2">
      <c r="A5" s="1">
        <v>4</v>
      </c>
      <c r="B5" s="1">
        <v>46</v>
      </c>
      <c r="C5" s="8">
        <v>22.656249999999996</v>
      </c>
      <c r="D5" s="1">
        <v>0</v>
      </c>
      <c r="E5" s="1">
        <v>320.5</v>
      </c>
      <c r="F5" s="1">
        <v>184.3</v>
      </c>
      <c r="G5" s="1">
        <v>0</v>
      </c>
      <c r="H5" s="1">
        <v>13</v>
      </c>
      <c r="I5" s="1">
        <v>0</v>
      </c>
      <c r="J5" s="1">
        <f>K5+L5</f>
        <v>1</v>
      </c>
      <c r="K5" s="1">
        <v>0</v>
      </c>
      <c r="L5" s="1">
        <v>1</v>
      </c>
      <c r="M5" s="1">
        <v>2</v>
      </c>
      <c r="N5" s="1">
        <f>M5+L5+K5</f>
        <v>3</v>
      </c>
      <c r="O5" s="3" t="s">
        <v>22</v>
      </c>
    </row>
    <row r="6" spans="1:15" x14ac:dyDescent="0.2">
      <c r="A6" s="1">
        <v>5</v>
      </c>
      <c r="B6" s="1">
        <v>45</v>
      </c>
      <c r="C6" s="8">
        <v>24.793388429752071</v>
      </c>
      <c r="D6" s="1">
        <v>0</v>
      </c>
      <c r="E6" s="1">
        <v>381.7</v>
      </c>
      <c r="F6" s="1" t="s">
        <v>20</v>
      </c>
      <c r="G6" s="1">
        <v>0</v>
      </c>
      <c r="H6" s="1">
        <v>12</v>
      </c>
      <c r="I6" s="1">
        <v>0</v>
      </c>
      <c r="J6" s="1">
        <f>K6+L6</f>
        <v>2</v>
      </c>
      <c r="K6" s="1">
        <v>0</v>
      </c>
      <c r="L6" s="1">
        <v>2</v>
      </c>
      <c r="M6" s="1">
        <v>2</v>
      </c>
      <c r="N6" s="1">
        <f>M6+L6+K6</f>
        <v>4</v>
      </c>
      <c r="O6" s="3" t="s">
        <v>45</v>
      </c>
    </row>
    <row r="7" spans="1:15" x14ac:dyDescent="0.2">
      <c r="A7" s="1">
        <v>6</v>
      </c>
      <c r="B7" s="1">
        <v>62</v>
      </c>
      <c r="C7" s="8">
        <v>25.555555555555557</v>
      </c>
      <c r="D7" s="1">
        <v>0</v>
      </c>
      <c r="E7" s="1">
        <v>24.6</v>
      </c>
      <c r="F7" s="1" t="s">
        <v>20</v>
      </c>
      <c r="G7" s="1">
        <v>0</v>
      </c>
      <c r="H7" s="1">
        <v>13</v>
      </c>
      <c r="I7" s="1">
        <v>1</v>
      </c>
      <c r="J7" s="1">
        <f>K7+L7</f>
        <v>1</v>
      </c>
      <c r="K7" s="1">
        <v>0</v>
      </c>
      <c r="L7" s="1">
        <v>1</v>
      </c>
      <c r="M7" s="1">
        <v>2</v>
      </c>
      <c r="N7" s="1">
        <f>M7+L7+K7</f>
        <v>3</v>
      </c>
      <c r="O7" s="3" t="s">
        <v>46</v>
      </c>
    </row>
    <row r="8" spans="1:15" x14ac:dyDescent="0.2">
      <c r="A8" s="1">
        <v>7</v>
      </c>
      <c r="B8" s="1">
        <v>53</v>
      </c>
      <c r="C8" s="8">
        <v>20.82999519307803</v>
      </c>
      <c r="D8" s="1">
        <v>0</v>
      </c>
      <c r="E8" s="1">
        <v>2194</v>
      </c>
      <c r="F8" s="1" t="s">
        <v>20</v>
      </c>
      <c r="G8" s="1">
        <v>0</v>
      </c>
      <c r="H8" s="1">
        <v>13</v>
      </c>
      <c r="I8" s="1">
        <v>1</v>
      </c>
      <c r="J8" s="1">
        <f>K8+L8</f>
        <v>1</v>
      </c>
      <c r="K8" s="1">
        <v>0</v>
      </c>
      <c r="L8" s="1">
        <v>1</v>
      </c>
      <c r="M8" s="1">
        <v>1</v>
      </c>
      <c r="N8" s="1">
        <f>M8+L8+K8</f>
        <v>2</v>
      </c>
      <c r="O8" s="3" t="s">
        <v>43</v>
      </c>
    </row>
    <row r="9" spans="1:15" x14ac:dyDescent="0.2">
      <c r="A9" s="1">
        <v>8</v>
      </c>
      <c r="B9" s="1">
        <v>54</v>
      </c>
      <c r="C9" s="8">
        <v>21.631148854350261</v>
      </c>
      <c r="D9" s="1">
        <v>0</v>
      </c>
      <c r="E9" s="1">
        <v>7357.9</v>
      </c>
      <c r="F9" s="1" t="s">
        <v>20</v>
      </c>
      <c r="G9" s="1">
        <v>0</v>
      </c>
      <c r="H9" s="1">
        <v>13</v>
      </c>
      <c r="I9" s="1">
        <v>1</v>
      </c>
      <c r="J9" s="1">
        <f>K9+L9</f>
        <v>1</v>
      </c>
      <c r="K9" s="1">
        <v>0</v>
      </c>
      <c r="L9" s="1">
        <v>1</v>
      </c>
      <c r="M9" s="1">
        <v>2</v>
      </c>
      <c r="N9" s="1">
        <f>M9+L9+K9</f>
        <v>3</v>
      </c>
      <c r="O9" s="3" t="s">
        <v>47</v>
      </c>
    </row>
    <row r="10" spans="1:15" x14ac:dyDescent="0.2">
      <c r="A10" s="1">
        <v>9</v>
      </c>
      <c r="B10" s="1">
        <v>55</v>
      </c>
      <c r="C10" s="8">
        <v>24.005486968449926</v>
      </c>
      <c r="D10" s="1">
        <v>0</v>
      </c>
      <c r="E10" s="1">
        <v>45</v>
      </c>
      <c r="F10" s="1">
        <v>234.8</v>
      </c>
      <c r="G10" s="1">
        <v>0</v>
      </c>
      <c r="H10" s="1">
        <v>14</v>
      </c>
      <c r="I10" s="1">
        <v>1</v>
      </c>
      <c r="J10" s="1">
        <f>K10+L10</f>
        <v>1</v>
      </c>
      <c r="K10" s="1">
        <v>0</v>
      </c>
      <c r="L10" s="1">
        <v>1</v>
      </c>
      <c r="M10" s="1">
        <v>2</v>
      </c>
      <c r="N10" s="1">
        <f>M10+L10+K10</f>
        <v>3</v>
      </c>
      <c r="O10" s="3" t="s">
        <v>48</v>
      </c>
    </row>
    <row r="11" spans="1:15" x14ac:dyDescent="0.2">
      <c r="A11" s="1">
        <v>10</v>
      </c>
      <c r="B11" s="1">
        <v>62</v>
      </c>
      <c r="C11" s="8">
        <v>25.711008267078039</v>
      </c>
      <c r="D11" s="1">
        <v>0</v>
      </c>
      <c r="E11" s="1">
        <v>9.9</v>
      </c>
      <c r="F11" s="1" t="s">
        <v>20</v>
      </c>
      <c r="G11" s="1">
        <v>0</v>
      </c>
      <c r="H11" s="1">
        <v>15</v>
      </c>
      <c r="I11" s="1">
        <v>1</v>
      </c>
      <c r="J11" s="1">
        <f>K11+L11</f>
        <v>2</v>
      </c>
      <c r="K11" s="1">
        <v>0</v>
      </c>
      <c r="L11" s="1">
        <v>2</v>
      </c>
      <c r="M11" s="1">
        <v>4</v>
      </c>
      <c r="N11" s="1">
        <f>M11+L11+K11</f>
        <v>6</v>
      </c>
      <c r="O11" s="3" t="s">
        <v>21</v>
      </c>
    </row>
    <row r="12" spans="1:15" x14ac:dyDescent="0.2">
      <c r="A12" s="1">
        <v>11</v>
      </c>
      <c r="B12" s="1">
        <v>61</v>
      </c>
      <c r="C12" s="8">
        <v>22.460937499999996</v>
      </c>
      <c r="D12" s="1">
        <v>0</v>
      </c>
      <c r="E12" s="1">
        <v>191.4</v>
      </c>
      <c r="F12" s="1" t="s">
        <v>20</v>
      </c>
      <c r="G12" s="1">
        <v>0</v>
      </c>
      <c r="H12" s="1">
        <v>20</v>
      </c>
      <c r="I12" s="1">
        <v>1</v>
      </c>
      <c r="J12" s="1">
        <f>K12+L12</f>
        <v>3</v>
      </c>
      <c r="K12" s="1">
        <v>0</v>
      </c>
      <c r="L12" s="1">
        <v>3</v>
      </c>
      <c r="M12" s="1">
        <v>0</v>
      </c>
      <c r="N12" s="1">
        <f>M12+L12+K12</f>
        <v>3</v>
      </c>
      <c r="O12" s="3" t="s">
        <v>24</v>
      </c>
    </row>
    <row r="13" spans="1:15" x14ac:dyDescent="0.2">
      <c r="A13" s="1">
        <v>12</v>
      </c>
      <c r="B13" s="1">
        <v>51</v>
      </c>
      <c r="C13" s="8">
        <v>21.453573713726524</v>
      </c>
      <c r="D13" s="1">
        <v>0</v>
      </c>
      <c r="E13" s="1">
        <v>596</v>
      </c>
      <c r="F13" s="1" t="s">
        <v>20</v>
      </c>
      <c r="G13" s="1">
        <v>0</v>
      </c>
      <c r="H13" s="1">
        <v>14</v>
      </c>
      <c r="I13" s="1">
        <v>1</v>
      </c>
      <c r="J13" s="1">
        <f>K13+L13</f>
        <v>2</v>
      </c>
      <c r="K13" s="1">
        <v>0</v>
      </c>
      <c r="L13" s="1">
        <v>2</v>
      </c>
      <c r="M13" s="1">
        <v>2</v>
      </c>
      <c r="N13" s="1">
        <f>M13+L13+K13</f>
        <v>4</v>
      </c>
      <c r="O13" s="3" t="s">
        <v>79</v>
      </c>
    </row>
    <row r="14" spans="1:15" x14ac:dyDescent="0.2">
      <c r="A14" s="1">
        <v>13</v>
      </c>
      <c r="B14" s="1">
        <v>34</v>
      </c>
      <c r="C14" s="8">
        <v>16.022938100860181</v>
      </c>
      <c r="D14" s="1">
        <v>0</v>
      </c>
      <c r="E14" s="1">
        <v>1162.7</v>
      </c>
      <c r="F14" s="1" t="s">
        <v>20</v>
      </c>
      <c r="G14" s="1">
        <v>0</v>
      </c>
      <c r="H14" s="1">
        <v>14</v>
      </c>
      <c r="I14" s="1">
        <v>0</v>
      </c>
      <c r="J14" s="1">
        <f>K14+L14</f>
        <v>0</v>
      </c>
      <c r="K14" s="1">
        <v>0</v>
      </c>
      <c r="L14" s="1">
        <v>0</v>
      </c>
      <c r="M14" s="1">
        <v>3</v>
      </c>
      <c r="N14" s="1">
        <f>M14+L14+K14</f>
        <v>3</v>
      </c>
      <c r="O14" s="3" t="s">
        <v>71</v>
      </c>
    </row>
    <row r="15" spans="1:15" x14ac:dyDescent="0.2">
      <c r="A15" s="1">
        <v>14</v>
      </c>
      <c r="B15" s="1">
        <v>49</v>
      </c>
      <c r="C15" s="8">
        <v>23.828124999999996</v>
      </c>
      <c r="D15" s="1">
        <v>1</v>
      </c>
      <c r="E15" s="1">
        <v>12000</v>
      </c>
      <c r="F15" s="1" t="s">
        <v>20</v>
      </c>
      <c r="G15" s="1">
        <v>0</v>
      </c>
      <c r="H15" s="1">
        <v>12</v>
      </c>
      <c r="I15" s="1">
        <v>0</v>
      </c>
      <c r="J15" s="1">
        <f>K15+L15</f>
        <v>1</v>
      </c>
      <c r="K15" s="1">
        <v>1</v>
      </c>
      <c r="L15" s="1">
        <v>0</v>
      </c>
      <c r="M15" s="1">
        <v>2</v>
      </c>
      <c r="N15" s="1">
        <f>M15+L15+K15</f>
        <v>3</v>
      </c>
      <c r="O15" s="3" t="s">
        <v>49</v>
      </c>
    </row>
    <row r="16" spans="1:15" x14ac:dyDescent="0.2">
      <c r="A16" s="1">
        <v>15</v>
      </c>
      <c r="B16" s="1">
        <v>57</v>
      </c>
      <c r="C16" s="8">
        <v>24.765868886576481</v>
      </c>
      <c r="D16" s="1">
        <v>0</v>
      </c>
      <c r="E16" s="1">
        <v>353.7</v>
      </c>
      <c r="F16" s="1" t="s">
        <v>20</v>
      </c>
      <c r="G16" s="1">
        <v>0</v>
      </c>
      <c r="H16" s="1">
        <v>15</v>
      </c>
      <c r="I16" s="1">
        <v>1</v>
      </c>
      <c r="J16" s="1">
        <f>K16+L16</f>
        <v>1</v>
      </c>
      <c r="K16" s="1">
        <v>0</v>
      </c>
      <c r="L16" s="1">
        <v>1</v>
      </c>
      <c r="M16" s="1">
        <v>3</v>
      </c>
      <c r="N16" s="1">
        <f>M16+L16+K16</f>
        <v>4</v>
      </c>
      <c r="O16" s="3" t="s">
        <v>80</v>
      </c>
    </row>
    <row r="17" spans="1:15" x14ac:dyDescent="0.2">
      <c r="A17" s="1">
        <v>16</v>
      </c>
      <c r="B17" s="1">
        <v>56</v>
      </c>
      <c r="C17" s="8">
        <v>27.099251006812452</v>
      </c>
      <c r="D17" s="1">
        <v>0</v>
      </c>
      <c r="E17" s="1">
        <v>1618.1</v>
      </c>
      <c r="F17" s="1">
        <v>188.7</v>
      </c>
      <c r="G17" s="1">
        <v>0</v>
      </c>
      <c r="H17" s="1">
        <v>13</v>
      </c>
      <c r="I17" s="1">
        <v>1</v>
      </c>
      <c r="J17" s="1">
        <f>K17+L17</f>
        <v>1</v>
      </c>
      <c r="K17" s="1">
        <v>0</v>
      </c>
      <c r="L17" s="1">
        <v>1</v>
      </c>
      <c r="M17" s="1">
        <v>0</v>
      </c>
      <c r="N17" s="1">
        <f>M17+L17+K17</f>
        <v>1</v>
      </c>
      <c r="O17" s="3" t="s">
        <v>50</v>
      </c>
    </row>
    <row r="18" spans="1:15" x14ac:dyDescent="0.2">
      <c r="A18" s="1">
        <v>17</v>
      </c>
      <c r="B18" s="1">
        <v>52</v>
      </c>
      <c r="C18" s="8">
        <v>26.291723822588015</v>
      </c>
      <c r="D18" s="1">
        <v>0</v>
      </c>
      <c r="E18" s="1">
        <v>131.80000000000001</v>
      </c>
      <c r="F18" s="1" t="s">
        <v>20</v>
      </c>
      <c r="G18" s="1">
        <v>1</v>
      </c>
      <c r="H18" s="1">
        <v>13</v>
      </c>
      <c r="I18" s="1">
        <v>1</v>
      </c>
      <c r="J18" s="1">
        <f>K18+L18</f>
        <v>2</v>
      </c>
      <c r="K18" s="1">
        <v>0</v>
      </c>
      <c r="L18" s="1">
        <v>2</v>
      </c>
      <c r="M18" s="1">
        <v>3</v>
      </c>
      <c r="N18" s="1">
        <f>M18+L18+K18</f>
        <v>5</v>
      </c>
      <c r="O18" s="3" t="s">
        <v>21</v>
      </c>
    </row>
    <row r="19" spans="1:15" x14ac:dyDescent="0.2">
      <c r="A19" s="1">
        <v>18</v>
      </c>
      <c r="B19" s="1">
        <v>73</v>
      </c>
      <c r="C19" s="8">
        <v>23.111111111111111</v>
      </c>
      <c r="D19" s="1">
        <v>0</v>
      </c>
      <c r="E19" s="1">
        <v>1194.8</v>
      </c>
      <c r="F19" s="1">
        <v>5751.3</v>
      </c>
      <c r="G19" s="1">
        <v>0</v>
      </c>
      <c r="H19" s="1">
        <v>14</v>
      </c>
      <c r="I19" s="1">
        <v>1</v>
      </c>
      <c r="J19" s="1">
        <f>K19+L19</f>
        <v>3</v>
      </c>
      <c r="K19" s="1">
        <v>0</v>
      </c>
      <c r="L19" s="1">
        <v>3</v>
      </c>
      <c r="M19" s="1">
        <v>0</v>
      </c>
      <c r="N19" s="1">
        <f>M19+L19+K19</f>
        <v>3</v>
      </c>
      <c r="O19" s="3" t="s">
        <v>51</v>
      </c>
    </row>
    <row r="20" spans="1:15" x14ac:dyDescent="0.2">
      <c r="A20" s="1">
        <v>19</v>
      </c>
      <c r="B20" s="1">
        <v>59</v>
      </c>
      <c r="C20" s="8">
        <v>20.134779750164363</v>
      </c>
      <c r="D20" s="1">
        <v>0</v>
      </c>
      <c r="E20" s="1">
        <v>1018.6</v>
      </c>
      <c r="F20" s="1" t="s">
        <v>20</v>
      </c>
      <c r="G20" s="1">
        <v>0</v>
      </c>
      <c r="H20" s="1">
        <v>12</v>
      </c>
      <c r="I20" s="1">
        <v>1</v>
      </c>
      <c r="J20" s="1">
        <f>K20+L20</f>
        <v>1</v>
      </c>
      <c r="K20" s="1">
        <v>0</v>
      </c>
      <c r="L20" s="1">
        <v>1</v>
      </c>
      <c r="M20" s="1">
        <v>2</v>
      </c>
      <c r="N20" s="1">
        <f>M20+L20+K20</f>
        <v>3</v>
      </c>
      <c r="O20" s="3" t="s">
        <v>41</v>
      </c>
    </row>
    <row r="21" spans="1:15" x14ac:dyDescent="0.2">
      <c r="A21" s="1">
        <v>20</v>
      </c>
      <c r="B21" s="1">
        <v>60</v>
      </c>
      <c r="C21" s="8">
        <v>19.482273060452911</v>
      </c>
      <c r="D21" s="1">
        <v>0</v>
      </c>
      <c r="E21" s="1">
        <v>27.1</v>
      </c>
      <c r="F21" s="1" t="s">
        <v>20</v>
      </c>
      <c r="G21" s="1">
        <v>0</v>
      </c>
      <c r="H21" s="1">
        <v>15</v>
      </c>
      <c r="I21" s="1">
        <v>1</v>
      </c>
      <c r="J21" s="1">
        <f>K21+L21</f>
        <v>1</v>
      </c>
      <c r="K21" s="1">
        <v>0</v>
      </c>
      <c r="L21" s="1">
        <v>1</v>
      </c>
      <c r="M21" s="1">
        <v>1</v>
      </c>
      <c r="N21" s="1">
        <f>M21+L21+K21</f>
        <v>2</v>
      </c>
      <c r="O21" s="3" t="s">
        <v>44</v>
      </c>
    </row>
    <row r="22" spans="1:15" x14ac:dyDescent="0.2">
      <c r="A22" s="1">
        <v>21</v>
      </c>
      <c r="B22" s="1">
        <v>61</v>
      </c>
      <c r="C22" s="8">
        <v>22.600262984878366</v>
      </c>
      <c r="D22" s="1">
        <v>0</v>
      </c>
      <c r="E22" s="1">
        <v>3568.2</v>
      </c>
      <c r="F22" s="1">
        <v>5146</v>
      </c>
      <c r="G22" s="1">
        <v>0</v>
      </c>
      <c r="H22" s="1">
        <v>15</v>
      </c>
      <c r="I22" s="1">
        <v>1</v>
      </c>
      <c r="J22" s="1">
        <f>K22+L22</f>
        <v>1</v>
      </c>
      <c r="K22" s="1">
        <v>0</v>
      </c>
      <c r="L22" s="1">
        <v>1</v>
      </c>
      <c r="M22" s="1">
        <v>3</v>
      </c>
      <c r="N22" s="1">
        <f>M22+L22+K22</f>
        <v>4</v>
      </c>
      <c r="O22" s="3" t="s">
        <v>51</v>
      </c>
    </row>
    <row r="23" spans="1:15" ht="16.5" x14ac:dyDescent="0.2">
      <c r="A23" s="1">
        <v>22</v>
      </c>
      <c r="B23" s="1">
        <v>47</v>
      </c>
      <c r="C23" s="8">
        <v>26.83864765261977</v>
      </c>
      <c r="D23" s="1">
        <v>0</v>
      </c>
      <c r="E23" s="1">
        <v>62.7</v>
      </c>
      <c r="F23" s="1">
        <v>555.4</v>
      </c>
      <c r="G23" s="1">
        <v>0</v>
      </c>
      <c r="H23" s="1">
        <v>12</v>
      </c>
      <c r="I23" s="1">
        <v>0</v>
      </c>
      <c r="J23" s="1">
        <f>K23+L23</f>
        <v>3</v>
      </c>
      <c r="K23" s="1">
        <v>0</v>
      </c>
      <c r="L23" s="1">
        <v>3</v>
      </c>
      <c r="M23" s="1">
        <v>2</v>
      </c>
      <c r="N23" s="1">
        <f>M23+L23+K23</f>
        <v>5</v>
      </c>
      <c r="O23" s="10" t="s">
        <v>52</v>
      </c>
    </row>
    <row r="24" spans="1:15" x14ac:dyDescent="0.2">
      <c r="A24" s="1">
        <v>23</v>
      </c>
      <c r="B24" s="1">
        <v>40</v>
      </c>
      <c r="C24" s="8">
        <v>20.811654526534856</v>
      </c>
      <c r="D24" s="1">
        <v>0</v>
      </c>
      <c r="E24" s="1">
        <v>49</v>
      </c>
      <c r="F24" s="1">
        <v>49.9</v>
      </c>
      <c r="G24" s="1">
        <v>0</v>
      </c>
      <c r="H24" s="1">
        <v>11</v>
      </c>
      <c r="I24" s="1">
        <v>0</v>
      </c>
      <c r="J24" s="1">
        <f>K24+L24</f>
        <v>1</v>
      </c>
      <c r="K24" s="1">
        <v>0</v>
      </c>
      <c r="L24" s="1">
        <v>1</v>
      </c>
      <c r="M24" s="1">
        <v>1</v>
      </c>
      <c r="N24" s="1">
        <f>M24+L24+K24</f>
        <v>2</v>
      </c>
      <c r="O24" s="3" t="s">
        <v>53</v>
      </c>
    </row>
    <row r="25" spans="1:15" ht="16.5" x14ac:dyDescent="0.2">
      <c r="A25" s="1">
        <v>24</v>
      </c>
      <c r="B25" s="1">
        <v>43</v>
      </c>
      <c r="C25" s="8">
        <v>23.423557406305775</v>
      </c>
      <c r="D25" s="1">
        <v>0</v>
      </c>
      <c r="E25" s="1">
        <v>522.29999999999995</v>
      </c>
      <c r="F25" s="1" t="s">
        <v>20</v>
      </c>
      <c r="G25" s="1">
        <v>0</v>
      </c>
      <c r="H25" s="1">
        <v>14</v>
      </c>
      <c r="I25" s="1">
        <v>0</v>
      </c>
      <c r="J25" s="1">
        <f>K25+L25</f>
        <v>2</v>
      </c>
      <c r="K25" s="1">
        <v>1</v>
      </c>
      <c r="L25" s="1">
        <v>1</v>
      </c>
      <c r="M25" s="1">
        <v>2</v>
      </c>
      <c r="N25" s="1">
        <f>M25+L25+K25</f>
        <v>4</v>
      </c>
      <c r="O25" s="10" t="s">
        <v>52</v>
      </c>
    </row>
    <row r="26" spans="1:15" ht="16.5" x14ac:dyDescent="0.2">
      <c r="A26" s="1">
        <v>25</v>
      </c>
      <c r="B26" s="1">
        <v>54</v>
      </c>
      <c r="C26" s="8">
        <v>19.111111111111111</v>
      </c>
      <c r="D26" s="1">
        <v>0</v>
      </c>
      <c r="E26" s="1">
        <v>124.3</v>
      </c>
      <c r="F26" s="1" t="s">
        <v>20</v>
      </c>
      <c r="G26" s="1">
        <v>0</v>
      </c>
      <c r="H26" s="1">
        <v>16</v>
      </c>
      <c r="I26" s="1">
        <v>1</v>
      </c>
      <c r="J26" s="1">
        <f>K26+L26</f>
        <v>2</v>
      </c>
      <c r="K26" s="1">
        <v>0</v>
      </c>
      <c r="L26" s="1">
        <v>2</v>
      </c>
      <c r="M26" s="1">
        <v>1</v>
      </c>
      <c r="N26" s="1">
        <f>M26+L26+K26</f>
        <v>3</v>
      </c>
      <c r="O26" s="10" t="s">
        <v>54</v>
      </c>
    </row>
    <row r="27" spans="1:15" x14ac:dyDescent="0.2">
      <c r="A27" s="1">
        <v>26</v>
      </c>
      <c r="B27" s="1">
        <v>61</v>
      </c>
      <c r="C27" s="8">
        <v>20.291340937246357</v>
      </c>
      <c r="D27" s="1">
        <v>0</v>
      </c>
      <c r="E27" s="1">
        <v>223.6</v>
      </c>
      <c r="F27" s="1" t="s">
        <v>20</v>
      </c>
      <c r="G27" s="1">
        <v>0</v>
      </c>
      <c r="H27" s="1">
        <v>12</v>
      </c>
      <c r="I27" s="1">
        <v>1</v>
      </c>
      <c r="J27" s="1">
        <f>K27+L27</f>
        <v>1</v>
      </c>
      <c r="K27" s="1">
        <v>1</v>
      </c>
      <c r="L27" s="1">
        <v>0</v>
      </c>
      <c r="M27" s="1">
        <v>3</v>
      </c>
      <c r="N27" s="1">
        <f>M27+L27+K27</f>
        <v>4</v>
      </c>
      <c r="O27" s="3" t="s">
        <v>44</v>
      </c>
    </row>
    <row r="28" spans="1:15" x14ac:dyDescent="0.2">
      <c r="A28" s="1">
        <v>27</v>
      </c>
      <c r="B28" s="1">
        <v>58</v>
      </c>
      <c r="C28" s="8">
        <v>21.484374999999996</v>
      </c>
      <c r="D28" s="1">
        <v>0</v>
      </c>
      <c r="E28" s="1">
        <v>169.8</v>
      </c>
      <c r="F28" s="1" t="s">
        <v>20</v>
      </c>
      <c r="G28" s="1">
        <v>0</v>
      </c>
      <c r="H28" s="1">
        <v>14</v>
      </c>
      <c r="I28" s="1">
        <v>1</v>
      </c>
      <c r="J28" s="1">
        <f>K28+L28</f>
        <v>1</v>
      </c>
      <c r="K28" s="1">
        <v>0</v>
      </c>
      <c r="L28" s="1">
        <v>1</v>
      </c>
      <c r="M28" s="1">
        <v>2</v>
      </c>
      <c r="N28" s="1">
        <f>M28+L28+K28</f>
        <v>3</v>
      </c>
      <c r="O28" s="3" t="s">
        <v>74</v>
      </c>
    </row>
    <row r="29" spans="1:15" x14ac:dyDescent="0.2">
      <c r="A29" s="1">
        <v>28</v>
      </c>
      <c r="B29" s="1">
        <v>66</v>
      </c>
      <c r="C29" s="8">
        <v>24.654832347140037</v>
      </c>
      <c r="D29" s="1">
        <v>2</v>
      </c>
      <c r="E29" s="1">
        <v>242.1</v>
      </c>
      <c r="F29" s="1">
        <v>148.9</v>
      </c>
      <c r="G29" s="1">
        <v>0</v>
      </c>
      <c r="H29" s="1">
        <v>14</v>
      </c>
      <c r="I29" s="1">
        <v>1</v>
      </c>
      <c r="J29" s="1">
        <f>K29+L29</f>
        <v>2</v>
      </c>
      <c r="K29" s="1">
        <v>0</v>
      </c>
      <c r="L29" s="1">
        <v>2</v>
      </c>
      <c r="M29" s="1">
        <v>0</v>
      </c>
      <c r="N29" s="1">
        <f>M29+L29+K29</f>
        <v>2</v>
      </c>
      <c r="O29" s="3" t="s">
        <v>43</v>
      </c>
    </row>
    <row r="30" spans="1:15" x14ac:dyDescent="0.2">
      <c r="A30" s="1">
        <v>29</v>
      </c>
      <c r="B30" s="1">
        <v>60</v>
      </c>
      <c r="C30" s="8">
        <v>21.484374999999996</v>
      </c>
      <c r="D30" s="1">
        <v>0</v>
      </c>
      <c r="E30" s="1">
        <v>14.7</v>
      </c>
      <c r="F30" s="1" t="s">
        <v>20</v>
      </c>
      <c r="G30" s="1">
        <v>0</v>
      </c>
      <c r="H30" s="1">
        <v>13</v>
      </c>
      <c r="I30" s="1">
        <v>1</v>
      </c>
      <c r="J30" s="1">
        <f>K30+L30</f>
        <v>1</v>
      </c>
      <c r="K30" s="1">
        <v>0</v>
      </c>
      <c r="L30" s="1">
        <v>1</v>
      </c>
      <c r="M30" s="1">
        <v>1</v>
      </c>
      <c r="N30" s="1">
        <f>M30+L30+K30</f>
        <v>2</v>
      </c>
      <c r="O30" s="3" t="s">
        <v>55</v>
      </c>
    </row>
    <row r="31" spans="1:15" x14ac:dyDescent="0.2">
      <c r="A31" s="1">
        <v>30</v>
      </c>
      <c r="B31" s="1">
        <v>55</v>
      </c>
      <c r="C31" s="8">
        <v>22.031725684986377</v>
      </c>
      <c r="D31" s="1">
        <v>0</v>
      </c>
      <c r="E31" s="1">
        <v>937.4</v>
      </c>
      <c r="F31" s="1" t="s">
        <v>20</v>
      </c>
      <c r="G31" s="1">
        <v>0</v>
      </c>
      <c r="H31" s="1">
        <v>16</v>
      </c>
      <c r="I31" s="1">
        <v>1</v>
      </c>
      <c r="J31" s="1">
        <f>K31+L31</f>
        <v>2</v>
      </c>
      <c r="K31" s="1">
        <v>0</v>
      </c>
      <c r="L31" s="1">
        <v>2</v>
      </c>
      <c r="M31" s="1">
        <v>0</v>
      </c>
      <c r="N31" s="1">
        <f>M31+L31+K31</f>
        <v>2</v>
      </c>
      <c r="O31" s="3" t="s">
        <v>63</v>
      </c>
    </row>
    <row r="32" spans="1:15" x14ac:dyDescent="0.2">
      <c r="A32" s="1">
        <v>31</v>
      </c>
      <c r="B32" s="1">
        <v>52</v>
      </c>
      <c r="C32" s="8">
        <v>15.555555555555555</v>
      </c>
      <c r="D32" s="1">
        <v>0</v>
      </c>
      <c r="E32" s="1">
        <v>1735.8</v>
      </c>
      <c r="F32" s="1" t="s">
        <v>20</v>
      </c>
      <c r="G32" s="1">
        <v>0</v>
      </c>
      <c r="H32" s="1">
        <v>13</v>
      </c>
      <c r="I32" s="1">
        <v>1</v>
      </c>
      <c r="J32" s="1">
        <f>K32+L32</f>
        <v>1</v>
      </c>
      <c r="K32" s="1">
        <v>0</v>
      </c>
      <c r="L32" s="1">
        <v>1</v>
      </c>
      <c r="M32" s="1">
        <v>1</v>
      </c>
      <c r="N32" s="1">
        <f>M32+L32+K32</f>
        <v>2</v>
      </c>
      <c r="O32" s="3" t="s">
        <v>25</v>
      </c>
    </row>
    <row r="33" spans="1:15" x14ac:dyDescent="0.2">
      <c r="A33" s="1">
        <v>32</v>
      </c>
      <c r="B33" s="1">
        <v>38</v>
      </c>
      <c r="C33" s="8">
        <v>20.700816741315069</v>
      </c>
      <c r="D33" s="1">
        <v>0</v>
      </c>
      <c r="E33" s="1">
        <v>546</v>
      </c>
      <c r="F33" s="1">
        <v>463</v>
      </c>
      <c r="G33" s="1">
        <v>0</v>
      </c>
      <c r="H33" s="1">
        <v>14</v>
      </c>
      <c r="I33" s="1">
        <v>0</v>
      </c>
      <c r="J33" s="1">
        <f>K33+L33</f>
        <v>1</v>
      </c>
      <c r="K33" s="1">
        <v>1</v>
      </c>
      <c r="L33" s="1">
        <v>0</v>
      </c>
      <c r="M33" s="1">
        <v>2</v>
      </c>
      <c r="N33" s="1">
        <f>M33+L33+K33</f>
        <v>3</v>
      </c>
      <c r="O33" s="3" t="s">
        <v>81</v>
      </c>
    </row>
    <row r="34" spans="1:15" x14ac:dyDescent="0.2">
      <c r="A34" s="1">
        <v>33</v>
      </c>
      <c r="B34" s="1">
        <v>47</v>
      </c>
      <c r="C34" s="8">
        <v>19.650561749754367</v>
      </c>
      <c r="D34" s="1">
        <v>0</v>
      </c>
      <c r="E34" s="1">
        <v>308.60000000000002</v>
      </c>
      <c r="F34" s="1" t="s">
        <v>20</v>
      </c>
      <c r="G34" s="1">
        <v>0</v>
      </c>
      <c r="H34" s="1">
        <v>15</v>
      </c>
      <c r="I34" s="1">
        <v>0</v>
      </c>
      <c r="J34" s="1">
        <f>K34+L34</f>
        <v>1</v>
      </c>
      <c r="K34" s="1">
        <v>1</v>
      </c>
      <c r="L34" s="1">
        <v>0</v>
      </c>
      <c r="M34" s="1">
        <v>2</v>
      </c>
      <c r="N34" s="1">
        <f>M34+L34+K34</f>
        <v>3</v>
      </c>
      <c r="O34" s="3" t="s">
        <v>40</v>
      </c>
    </row>
    <row r="35" spans="1:15" x14ac:dyDescent="0.2">
      <c r="A35" s="1">
        <v>34</v>
      </c>
      <c r="B35" s="1">
        <v>49</v>
      </c>
      <c r="C35" s="8">
        <v>23.046874999999996</v>
      </c>
      <c r="D35" s="1">
        <v>0</v>
      </c>
      <c r="E35" s="1">
        <v>2737</v>
      </c>
      <c r="F35" s="1" t="s">
        <v>20</v>
      </c>
      <c r="G35" s="1">
        <v>0</v>
      </c>
      <c r="H35" s="1">
        <v>15</v>
      </c>
      <c r="I35" s="1">
        <v>0</v>
      </c>
      <c r="J35" s="1">
        <f>K35+L35</f>
        <v>1</v>
      </c>
      <c r="K35" s="1">
        <v>0</v>
      </c>
      <c r="L35" s="1">
        <v>1</v>
      </c>
      <c r="M35" s="1">
        <v>0</v>
      </c>
      <c r="N35" s="1">
        <f>M35+L35+K35</f>
        <v>1</v>
      </c>
      <c r="O35" s="3" t="s">
        <v>51</v>
      </c>
    </row>
    <row r="36" spans="1:15" x14ac:dyDescent="0.2">
      <c r="A36" s="1">
        <v>35</v>
      </c>
      <c r="B36" s="1">
        <v>60</v>
      </c>
      <c r="C36" s="8">
        <v>21.227887617065555</v>
      </c>
      <c r="D36" s="1">
        <v>0</v>
      </c>
      <c r="E36" s="1">
        <v>212.1</v>
      </c>
      <c r="F36" s="1">
        <v>383.5</v>
      </c>
      <c r="G36" s="1">
        <v>0</v>
      </c>
      <c r="H36" s="1">
        <v>13</v>
      </c>
      <c r="I36" s="1">
        <v>1</v>
      </c>
      <c r="J36" s="1">
        <f>K36+L36</f>
        <v>1</v>
      </c>
      <c r="K36" s="1">
        <v>0</v>
      </c>
      <c r="L36" s="1">
        <v>1</v>
      </c>
      <c r="M36" s="1">
        <v>2</v>
      </c>
      <c r="N36" s="1">
        <f>M36+L36+K36</f>
        <v>3</v>
      </c>
      <c r="O36" s="3" t="s">
        <v>26</v>
      </c>
    </row>
    <row r="37" spans="1:15" x14ac:dyDescent="0.2">
      <c r="A37" s="1">
        <v>36</v>
      </c>
      <c r="B37" s="1">
        <v>55</v>
      </c>
      <c r="C37" s="8">
        <v>21.111111111111111</v>
      </c>
      <c r="D37" s="1">
        <v>0</v>
      </c>
      <c r="E37" s="1">
        <v>23.8</v>
      </c>
      <c r="F37" s="1" t="s">
        <v>20</v>
      </c>
      <c r="G37" s="1">
        <v>0</v>
      </c>
      <c r="H37" s="1">
        <v>12</v>
      </c>
      <c r="I37" s="1">
        <v>1</v>
      </c>
      <c r="J37" s="1">
        <f>K37+L37</f>
        <v>2</v>
      </c>
      <c r="K37" s="1">
        <v>1</v>
      </c>
      <c r="L37" s="1">
        <v>1</v>
      </c>
      <c r="M37" s="1">
        <v>1</v>
      </c>
      <c r="N37" s="1">
        <f>M37+L37+K37</f>
        <v>3</v>
      </c>
      <c r="O37" s="3" t="s">
        <v>44</v>
      </c>
    </row>
    <row r="38" spans="1:15" x14ac:dyDescent="0.2">
      <c r="A38" s="1">
        <v>37</v>
      </c>
      <c r="B38" s="1">
        <v>52</v>
      </c>
      <c r="C38" s="8">
        <v>21.644120707596251</v>
      </c>
      <c r="D38" s="1">
        <v>0</v>
      </c>
      <c r="E38" s="1">
        <v>128.5</v>
      </c>
      <c r="F38" s="1" t="s">
        <v>20</v>
      </c>
      <c r="G38" s="1">
        <v>1</v>
      </c>
      <c r="H38" s="1">
        <v>12</v>
      </c>
      <c r="I38" s="1">
        <v>1</v>
      </c>
      <c r="J38" s="1">
        <f>K38+L38</f>
        <v>1</v>
      </c>
      <c r="K38" s="1">
        <v>1</v>
      </c>
      <c r="L38" s="1">
        <v>0</v>
      </c>
      <c r="M38" s="1">
        <v>1</v>
      </c>
      <c r="N38" s="1">
        <f>M38+L38+K38</f>
        <v>2</v>
      </c>
      <c r="O38" s="3" t="s">
        <v>82</v>
      </c>
    </row>
    <row r="39" spans="1:15" x14ac:dyDescent="0.2">
      <c r="A39" s="1">
        <v>38</v>
      </c>
      <c r="B39" s="1">
        <v>51</v>
      </c>
      <c r="C39" s="8">
        <v>20.613131003026183</v>
      </c>
      <c r="D39" s="1">
        <v>0</v>
      </c>
      <c r="E39" s="1">
        <v>3129.3</v>
      </c>
      <c r="F39" s="1">
        <v>211.8</v>
      </c>
      <c r="G39" s="1">
        <v>0</v>
      </c>
      <c r="H39" s="1">
        <v>13</v>
      </c>
      <c r="I39" s="1">
        <v>0</v>
      </c>
      <c r="J39" s="1">
        <f>K39+L39</f>
        <v>1</v>
      </c>
      <c r="K39" s="1">
        <v>0</v>
      </c>
      <c r="L39" s="1">
        <v>1</v>
      </c>
      <c r="M39" s="1">
        <v>2</v>
      </c>
      <c r="N39" s="1">
        <f>M39+L39+K39</f>
        <v>3</v>
      </c>
      <c r="O39" s="3" t="s">
        <v>75</v>
      </c>
    </row>
    <row r="40" spans="1:15" x14ac:dyDescent="0.2">
      <c r="A40" s="1">
        <v>39</v>
      </c>
      <c r="B40" s="1">
        <v>49</v>
      </c>
      <c r="C40" s="8">
        <v>24.793388429752071</v>
      </c>
      <c r="D40" s="1">
        <v>0</v>
      </c>
      <c r="E40" s="1">
        <v>489.9</v>
      </c>
      <c r="F40" s="1" t="s">
        <v>20</v>
      </c>
      <c r="G40" s="1">
        <v>0</v>
      </c>
      <c r="H40" s="1">
        <v>14</v>
      </c>
      <c r="I40" s="1">
        <v>0</v>
      </c>
      <c r="J40" s="1">
        <f>K40+L40</f>
        <v>1</v>
      </c>
      <c r="K40" s="1">
        <v>0</v>
      </c>
      <c r="L40" s="1">
        <v>1</v>
      </c>
      <c r="M40" s="1">
        <v>0</v>
      </c>
      <c r="N40" s="1">
        <f>M40+L40+K40</f>
        <v>1</v>
      </c>
      <c r="O40" s="3" t="s">
        <v>63</v>
      </c>
    </row>
    <row r="41" spans="1:15" x14ac:dyDescent="0.2">
      <c r="A41" s="1">
        <v>40</v>
      </c>
      <c r="B41" s="1">
        <v>55</v>
      </c>
      <c r="C41" s="8">
        <v>23.725286160249738</v>
      </c>
      <c r="D41" s="1">
        <v>0</v>
      </c>
      <c r="E41" s="1">
        <v>15.4</v>
      </c>
      <c r="F41" s="1">
        <v>40.9</v>
      </c>
      <c r="G41" s="1">
        <v>0</v>
      </c>
      <c r="H41" s="1">
        <v>12</v>
      </c>
      <c r="I41" s="1">
        <v>1</v>
      </c>
      <c r="J41" s="1">
        <f>K41+L41</f>
        <v>1</v>
      </c>
      <c r="K41" s="1">
        <v>0</v>
      </c>
      <c r="L41" s="1">
        <v>1</v>
      </c>
      <c r="M41" s="1">
        <v>2</v>
      </c>
      <c r="N41" s="1">
        <f>M41+L41+K41</f>
        <v>3</v>
      </c>
      <c r="O41" s="3" t="s">
        <v>57</v>
      </c>
    </row>
    <row r="42" spans="1:15" x14ac:dyDescent="0.2">
      <c r="A42" s="1">
        <v>41</v>
      </c>
      <c r="B42" s="1">
        <v>56</v>
      </c>
      <c r="C42" s="8">
        <v>24.444444444444443</v>
      </c>
      <c r="D42" s="1">
        <v>2</v>
      </c>
      <c r="E42" s="1">
        <v>1145.5999999999999</v>
      </c>
      <c r="F42" s="1">
        <v>736.9</v>
      </c>
      <c r="G42" s="1">
        <v>0</v>
      </c>
      <c r="H42" s="1">
        <v>12</v>
      </c>
      <c r="I42" s="1">
        <v>1</v>
      </c>
      <c r="J42" s="1">
        <f>K42+L42</f>
        <v>2</v>
      </c>
      <c r="K42" s="1">
        <v>0</v>
      </c>
      <c r="L42" s="1">
        <v>2</v>
      </c>
      <c r="M42" s="1">
        <v>1</v>
      </c>
      <c r="N42" s="1">
        <f>M42+L42+K42</f>
        <v>3</v>
      </c>
      <c r="O42" s="3" t="s">
        <v>43</v>
      </c>
    </row>
    <row r="43" spans="1:15" x14ac:dyDescent="0.2">
      <c r="A43" s="1">
        <v>42</v>
      </c>
      <c r="B43" s="1">
        <v>24</v>
      </c>
      <c r="C43" s="8">
        <v>18.066167337874969</v>
      </c>
      <c r="D43" s="1">
        <v>1</v>
      </c>
      <c r="E43" s="1">
        <v>52.2</v>
      </c>
      <c r="F43" s="1" t="s">
        <v>20</v>
      </c>
      <c r="G43" s="1">
        <v>0</v>
      </c>
      <c r="H43" s="1">
        <v>12</v>
      </c>
      <c r="I43" s="1">
        <v>0</v>
      </c>
      <c r="J43" s="1">
        <f>K43+L43</f>
        <v>0</v>
      </c>
      <c r="K43" s="1">
        <v>0</v>
      </c>
      <c r="L43" s="1">
        <v>0</v>
      </c>
      <c r="M43" s="1">
        <v>0</v>
      </c>
      <c r="N43" s="1">
        <f>M43+L43+K43</f>
        <v>0</v>
      </c>
      <c r="O43" s="3" t="s">
        <v>27</v>
      </c>
    </row>
    <row r="44" spans="1:15" x14ac:dyDescent="0.2">
      <c r="A44" s="1">
        <v>43</v>
      </c>
      <c r="B44" s="1">
        <v>72</v>
      </c>
      <c r="C44" s="8">
        <v>21.644120707596251</v>
      </c>
      <c r="D44" s="1">
        <v>0</v>
      </c>
      <c r="E44" s="1">
        <v>24.9</v>
      </c>
      <c r="F44" s="1" t="s">
        <v>20</v>
      </c>
      <c r="G44" s="1">
        <v>0</v>
      </c>
      <c r="H44" s="1">
        <v>12</v>
      </c>
      <c r="I44" s="1">
        <v>1</v>
      </c>
      <c r="J44" s="1">
        <f>K44+L44</f>
        <v>2</v>
      </c>
      <c r="K44" s="1">
        <v>0</v>
      </c>
      <c r="L44" s="1">
        <v>2</v>
      </c>
      <c r="M44" s="1">
        <v>0</v>
      </c>
      <c r="N44" s="1">
        <f>M44+L44+K44</f>
        <v>2</v>
      </c>
      <c r="O44" s="3" t="s">
        <v>44</v>
      </c>
    </row>
    <row r="45" spans="1:15" x14ac:dyDescent="0.2">
      <c r="A45" s="1">
        <v>44</v>
      </c>
      <c r="B45" s="1">
        <v>47</v>
      </c>
      <c r="C45" s="8">
        <v>26.026174895895306</v>
      </c>
      <c r="D45" s="1">
        <v>0</v>
      </c>
      <c r="E45" s="1">
        <v>53.1</v>
      </c>
      <c r="F45" s="1" t="s">
        <v>20</v>
      </c>
      <c r="G45" s="1">
        <v>0</v>
      </c>
      <c r="H45" s="1">
        <v>12</v>
      </c>
      <c r="I45" s="1">
        <v>0</v>
      </c>
      <c r="J45" s="1">
        <f>K45+L45</f>
        <v>1</v>
      </c>
      <c r="K45" s="1">
        <v>0</v>
      </c>
      <c r="L45" s="1">
        <v>1</v>
      </c>
      <c r="M45" s="1">
        <v>2</v>
      </c>
      <c r="N45" s="1">
        <f>M45+L45+K45</f>
        <v>3</v>
      </c>
      <c r="O45" s="3" t="s">
        <v>58</v>
      </c>
    </row>
    <row r="46" spans="1:15" x14ac:dyDescent="0.2">
      <c r="A46" s="1">
        <v>45</v>
      </c>
      <c r="B46" s="1">
        <v>54</v>
      </c>
      <c r="C46" s="8">
        <v>19.562955254942764</v>
      </c>
      <c r="D46" s="1">
        <v>1</v>
      </c>
      <c r="E46" s="1">
        <v>104.6</v>
      </c>
      <c r="F46" s="1" t="s">
        <v>20</v>
      </c>
      <c r="G46" s="1">
        <v>0</v>
      </c>
      <c r="H46" s="1">
        <v>16</v>
      </c>
      <c r="I46" s="1">
        <v>1</v>
      </c>
      <c r="J46" s="1">
        <f>K46+L46</f>
        <v>1</v>
      </c>
      <c r="K46" s="1">
        <v>1</v>
      </c>
      <c r="L46" s="1">
        <v>0</v>
      </c>
      <c r="M46" s="1">
        <v>5</v>
      </c>
      <c r="N46" s="1">
        <f>M46+L46+K46</f>
        <v>6</v>
      </c>
      <c r="O46" s="3" t="s">
        <v>41</v>
      </c>
    </row>
    <row r="47" spans="1:15" x14ac:dyDescent="0.2">
      <c r="A47" s="1">
        <v>46</v>
      </c>
      <c r="B47" s="1">
        <v>57</v>
      </c>
      <c r="C47" s="8">
        <v>19.814052735863431</v>
      </c>
      <c r="D47" s="1">
        <v>0</v>
      </c>
      <c r="E47" s="1">
        <v>189</v>
      </c>
      <c r="F47" s="1">
        <v>509.9</v>
      </c>
      <c r="G47" s="1">
        <v>0</v>
      </c>
      <c r="H47" s="1">
        <v>12</v>
      </c>
      <c r="I47" s="1">
        <v>1</v>
      </c>
      <c r="J47" s="1">
        <f>K47+L47</f>
        <v>1</v>
      </c>
      <c r="K47" s="1">
        <v>0</v>
      </c>
      <c r="L47" s="1">
        <v>1</v>
      </c>
      <c r="M47" s="1">
        <v>0</v>
      </c>
      <c r="N47" s="1">
        <f>M47+L47+K47</f>
        <v>1</v>
      </c>
      <c r="O47" s="3" t="s">
        <v>59</v>
      </c>
    </row>
    <row r="48" spans="1:15" x14ac:dyDescent="0.2">
      <c r="A48" s="1">
        <v>47</v>
      </c>
      <c r="B48" s="1">
        <v>65</v>
      </c>
      <c r="C48" s="8">
        <v>21.926125822229718</v>
      </c>
      <c r="D48" s="1">
        <v>0</v>
      </c>
      <c r="E48" s="1">
        <v>147.19999999999999</v>
      </c>
      <c r="F48" s="1" t="s">
        <v>20</v>
      </c>
      <c r="G48" s="1">
        <v>0</v>
      </c>
      <c r="H48" s="1">
        <v>14</v>
      </c>
      <c r="I48" s="1">
        <v>1</v>
      </c>
      <c r="J48" s="1">
        <f>K48+L48</f>
        <v>1</v>
      </c>
      <c r="K48" s="1">
        <v>0</v>
      </c>
      <c r="L48" s="1">
        <v>1</v>
      </c>
      <c r="M48" s="1">
        <v>0</v>
      </c>
      <c r="N48" s="1">
        <f>M48+L48+K48</f>
        <v>1</v>
      </c>
      <c r="O48" s="3" t="s">
        <v>60</v>
      </c>
    </row>
    <row r="49" spans="1:15" x14ac:dyDescent="0.2">
      <c r="A49" s="1">
        <v>48</v>
      </c>
      <c r="B49" s="1">
        <v>47</v>
      </c>
      <c r="C49" s="8">
        <v>23.600416233090527</v>
      </c>
      <c r="D49" s="1">
        <v>0</v>
      </c>
      <c r="E49" s="1">
        <v>374.5</v>
      </c>
      <c r="F49" s="1" t="s">
        <v>20</v>
      </c>
      <c r="G49" s="1">
        <v>1</v>
      </c>
      <c r="H49" s="1">
        <v>12</v>
      </c>
      <c r="I49" s="1">
        <v>0</v>
      </c>
      <c r="J49" s="1">
        <f>K49+L49</f>
        <v>1</v>
      </c>
      <c r="K49" s="1">
        <v>1</v>
      </c>
      <c r="L49" s="1">
        <v>0</v>
      </c>
      <c r="M49" s="1">
        <v>1</v>
      </c>
      <c r="N49" s="1">
        <f>M49+L49+K49</f>
        <v>2</v>
      </c>
      <c r="O49" s="3" t="s">
        <v>71</v>
      </c>
    </row>
    <row r="50" spans="1:15" x14ac:dyDescent="0.2">
      <c r="A50" s="1">
        <v>49</v>
      </c>
      <c r="B50" s="1">
        <v>55</v>
      </c>
      <c r="C50" s="8">
        <v>20.811654526534856</v>
      </c>
      <c r="D50" s="1">
        <v>0</v>
      </c>
      <c r="E50" s="1">
        <v>3039.5</v>
      </c>
      <c r="F50" s="1">
        <v>300.5</v>
      </c>
      <c r="G50" s="1">
        <v>0</v>
      </c>
      <c r="H50" s="1">
        <v>13</v>
      </c>
      <c r="I50" s="1">
        <v>1</v>
      </c>
      <c r="J50" s="1">
        <f>K50+L50</f>
        <v>1</v>
      </c>
      <c r="K50" s="1">
        <v>1</v>
      </c>
      <c r="L50" s="1">
        <v>0</v>
      </c>
      <c r="M50" s="1">
        <v>0</v>
      </c>
      <c r="N50" s="1">
        <f>M50+L50+K50</f>
        <v>1</v>
      </c>
      <c r="O50" s="3" t="s">
        <v>40</v>
      </c>
    </row>
    <row r="51" spans="1:15" x14ac:dyDescent="0.2">
      <c r="A51" s="1">
        <v>50</v>
      </c>
      <c r="B51" s="1">
        <v>50</v>
      </c>
      <c r="C51" s="8">
        <v>20.028841531805796</v>
      </c>
      <c r="D51" s="1">
        <v>0</v>
      </c>
      <c r="E51" s="1">
        <v>2790.4</v>
      </c>
      <c r="F51" s="1">
        <v>798</v>
      </c>
      <c r="G51" s="1">
        <v>0</v>
      </c>
      <c r="H51" s="1">
        <v>14</v>
      </c>
      <c r="I51" s="1">
        <v>0</v>
      </c>
      <c r="J51" s="1">
        <f>K51+L51</f>
        <v>1</v>
      </c>
      <c r="K51" s="1">
        <v>0</v>
      </c>
      <c r="L51" s="1">
        <v>1</v>
      </c>
      <c r="M51" s="1">
        <v>2</v>
      </c>
      <c r="N51" s="1">
        <f>M51+L51+K51</f>
        <v>3</v>
      </c>
      <c r="O51" s="3" t="s">
        <v>40</v>
      </c>
    </row>
    <row r="52" spans="1:15" x14ac:dyDescent="0.2">
      <c r="A52" s="1">
        <v>51</v>
      </c>
      <c r="B52" s="1">
        <v>53</v>
      </c>
      <c r="C52" s="8">
        <v>22.222222222222221</v>
      </c>
      <c r="D52" s="1">
        <v>0</v>
      </c>
      <c r="E52" s="1">
        <v>2666.9</v>
      </c>
      <c r="F52" s="1" t="s">
        <v>20</v>
      </c>
      <c r="G52" s="1">
        <v>1</v>
      </c>
      <c r="H52" s="1">
        <v>13</v>
      </c>
      <c r="I52" s="1">
        <v>1</v>
      </c>
      <c r="J52" s="1">
        <f>K52+L52</f>
        <v>1</v>
      </c>
      <c r="K52" s="1">
        <v>0</v>
      </c>
      <c r="L52" s="1">
        <v>1</v>
      </c>
      <c r="M52" s="1">
        <v>1</v>
      </c>
      <c r="N52" s="1">
        <f>M52+L52+K52</f>
        <v>2</v>
      </c>
      <c r="O52" s="3" t="s">
        <v>41</v>
      </c>
    </row>
    <row r="53" spans="1:15" x14ac:dyDescent="0.2">
      <c r="A53" s="1">
        <v>52</v>
      </c>
      <c r="B53" s="1">
        <v>37</v>
      </c>
      <c r="C53" s="8">
        <v>21.155294202015131</v>
      </c>
      <c r="D53" s="1">
        <v>0</v>
      </c>
      <c r="E53" s="1">
        <v>931.3</v>
      </c>
      <c r="F53" s="1">
        <v>343.3</v>
      </c>
      <c r="G53" s="1">
        <v>0</v>
      </c>
      <c r="H53" s="1">
        <v>13</v>
      </c>
      <c r="I53" s="1">
        <v>0</v>
      </c>
      <c r="J53" s="1">
        <f>K53+L53</f>
        <v>1</v>
      </c>
      <c r="K53" s="1">
        <v>0</v>
      </c>
      <c r="L53" s="1">
        <v>1</v>
      </c>
      <c r="M53" s="1">
        <v>0</v>
      </c>
      <c r="N53" s="1">
        <f>M53+L53+K53</f>
        <v>1</v>
      </c>
      <c r="O53" s="3" t="s">
        <v>43</v>
      </c>
    </row>
    <row r="54" spans="1:15" x14ac:dyDescent="0.2">
      <c r="A54" s="1">
        <v>53</v>
      </c>
      <c r="B54" s="1">
        <v>58</v>
      </c>
      <c r="C54" s="8">
        <v>23.9188302920412</v>
      </c>
      <c r="D54" s="1">
        <v>0</v>
      </c>
      <c r="E54" s="1">
        <v>1485.4</v>
      </c>
      <c r="F54" s="1" t="s">
        <v>20</v>
      </c>
      <c r="G54" s="1">
        <v>0</v>
      </c>
      <c r="H54" s="1">
        <v>13</v>
      </c>
      <c r="I54" s="1">
        <v>1</v>
      </c>
      <c r="J54" s="1">
        <f>K54+L54</f>
        <v>2</v>
      </c>
      <c r="K54" s="1">
        <v>0</v>
      </c>
      <c r="L54" s="1">
        <v>2</v>
      </c>
      <c r="M54" s="1">
        <v>1</v>
      </c>
      <c r="N54" s="1">
        <f>M54+L54+K54</f>
        <v>3</v>
      </c>
      <c r="O54" s="3" t="s">
        <v>41</v>
      </c>
    </row>
    <row r="55" spans="1:15" x14ac:dyDescent="0.2">
      <c r="A55" s="1">
        <v>54</v>
      </c>
      <c r="B55" s="1">
        <v>61</v>
      </c>
      <c r="C55" s="8">
        <v>20.811654526534856</v>
      </c>
      <c r="D55" s="1">
        <v>0</v>
      </c>
      <c r="E55" s="1">
        <v>2096.3000000000002</v>
      </c>
      <c r="F55" s="1" t="s">
        <v>20</v>
      </c>
      <c r="G55" s="1">
        <v>1</v>
      </c>
      <c r="H55" s="1">
        <v>14</v>
      </c>
      <c r="I55" s="1">
        <v>1</v>
      </c>
      <c r="J55" s="1">
        <f>K55+L55</f>
        <v>1</v>
      </c>
      <c r="K55" s="1">
        <v>0</v>
      </c>
      <c r="L55" s="1">
        <v>1</v>
      </c>
      <c r="M55" s="1">
        <v>2</v>
      </c>
      <c r="N55" s="1">
        <f>M55+L55+K55</f>
        <v>3</v>
      </c>
      <c r="O55" s="3" t="s">
        <v>43</v>
      </c>
    </row>
    <row r="56" spans="1:15" x14ac:dyDescent="0.2">
      <c r="A56" s="1">
        <v>55</v>
      </c>
      <c r="B56" s="1">
        <v>52</v>
      </c>
      <c r="C56" s="8">
        <v>26.847034339229964</v>
      </c>
      <c r="D56" s="1">
        <v>0</v>
      </c>
      <c r="E56" s="1">
        <v>346.9</v>
      </c>
      <c r="F56" s="1">
        <v>128.30000000000001</v>
      </c>
      <c r="G56" s="1">
        <v>0</v>
      </c>
      <c r="H56" s="1">
        <v>13</v>
      </c>
      <c r="I56" s="1">
        <v>0</v>
      </c>
      <c r="J56" s="1">
        <f>K56+L56</f>
        <v>2</v>
      </c>
      <c r="K56" s="1">
        <v>1</v>
      </c>
      <c r="L56" s="1">
        <v>1</v>
      </c>
      <c r="M56" s="1">
        <v>1</v>
      </c>
      <c r="N56" s="1">
        <f>M56+L56+K56</f>
        <v>3</v>
      </c>
      <c r="O56" s="3" t="s">
        <v>61</v>
      </c>
    </row>
    <row r="57" spans="1:15" x14ac:dyDescent="0.2">
      <c r="A57" s="1">
        <v>56</v>
      </c>
      <c r="B57" s="1">
        <v>31</v>
      </c>
      <c r="C57" s="8">
        <v>22.948115744558788</v>
      </c>
      <c r="D57" s="1">
        <v>0</v>
      </c>
      <c r="E57" s="1">
        <v>55.8</v>
      </c>
      <c r="F57" s="1" t="s">
        <v>20</v>
      </c>
      <c r="G57" s="1">
        <v>0</v>
      </c>
      <c r="H57" s="1">
        <v>11</v>
      </c>
      <c r="I57" s="1">
        <v>0</v>
      </c>
      <c r="J57" s="1">
        <f>K57+L57</f>
        <v>0</v>
      </c>
      <c r="K57" s="1">
        <v>0</v>
      </c>
      <c r="L57" s="1">
        <v>0</v>
      </c>
      <c r="M57" s="1">
        <v>0</v>
      </c>
      <c r="N57" s="1">
        <f>M57+L57+K57</f>
        <v>0</v>
      </c>
      <c r="O57" s="3" t="s">
        <v>62</v>
      </c>
    </row>
    <row r="58" spans="1:15" x14ac:dyDescent="0.2">
      <c r="A58" s="1">
        <v>57</v>
      </c>
      <c r="B58" s="1">
        <v>43</v>
      </c>
      <c r="C58" s="8">
        <v>25.236340330075304</v>
      </c>
      <c r="D58" s="1">
        <v>1</v>
      </c>
      <c r="E58" s="1">
        <v>2037</v>
      </c>
      <c r="F58" s="1" t="s">
        <v>20</v>
      </c>
      <c r="G58" s="1">
        <v>0</v>
      </c>
      <c r="H58" s="1">
        <v>13</v>
      </c>
      <c r="I58" s="1">
        <v>0</v>
      </c>
      <c r="J58" s="1">
        <f>K58+L58</f>
        <v>1</v>
      </c>
      <c r="K58" s="1">
        <v>0</v>
      </c>
      <c r="L58" s="1">
        <v>1</v>
      </c>
      <c r="M58" s="1">
        <v>2</v>
      </c>
      <c r="N58" s="1">
        <f>M58+L58+K58</f>
        <v>3</v>
      </c>
      <c r="O58" s="3" t="s">
        <v>43</v>
      </c>
    </row>
    <row r="59" spans="1:15" x14ac:dyDescent="0.2">
      <c r="A59" s="1">
        <v>58</v>
      </c>
      <c r="B59" s="1">
        <v>61</v>
      </c>
      <c r="C59" s="8">
        <v>28.763971071663377</v>
      </c>
      <c r="D59" s="1">
        <v>0</v>
      </c>
      <c r="E59" s="1">
        <v>18.600000000000001</v>
      </c>
      <c r="F59" s="1" t="s">
        <v>20</v>
      </c>
      <c r="G59" s="1">
        <v>0</v>
      </c>
      <c r="H59" s="1">
        <v>14</v>
      </c>
      <c r="I59" s="1">
        <v>1</v>
      </c>
      <c r="J59" s="1">
        <f>K59+L59</f>
        <v>1</v>
      </c>
      <c r="K59" s="1">
        <v>0</v>
      </c>
      <c r="L59" s="1">
        <v>1</v>
      </c>
      <c r="M59" s="1">
        <v>1</v>
      </c>
      <c r="N59" s="1">
        <f>M59+L59+K59</f>
        <v>2</v>
      </c>
      <c r="O59" s="11" t="s">
        <v>76</v>
      </c>
    </row>
    <row r="60" spans="1:15" x14ac:dyDescent="0.2">
      <c r="A60" s="1">
        <v>59</v>
      </c>
      <c r="B60" s="1">
        <v>30</v>
      </c>
      <c r="C60" s="8">
        <v>25.976562499999996</v>
      </c>
      <c r="D60" s="1">
        <v>0</v>
      </c>
      <c r="E60" s="1">
        <v>111.8</v>
      </c>
      <c r="F60" s="1" t="s">
        <v>20</v>
      </c>
      <c r="G60" s="1">
        <v>0</v>
      </c>
      <c r="H60" s="1">
        <v>13</v>
      </c>
      <c r="I60" s="1">
        <v>0</v>
      </c>
      <c r="J60" s="1">
        <f>K60+L60</f>
        <v>1</v>
      </c>
      <c r="K60" s="1">
        <v>1</v>
      </c>
      <c r="L60" s="1">
        <v>0</v>
      </c>
      <c r="M60" s="1">
        <v>0</v>
      </c>
      <c r="N60" s="1">
        <f>M60+L60+K60</f>
        <v>1</v>
      </c>
      <c r="O60" s="3" t="s">
        <v>41</v>
      </c>
    </row>
    <row r="61" spans="1:15" x14ac:dyDescent="0.2">
      <c r="A61" s="1">
        <v>60</v>
      </c>
      <c r="B61" s="1">
        <v>41</v>
      </c>
      <c r="C61" s="8">
        <v>24.218749999999996</v>
      </c>
      <c r="D61" s="1">
        <v>0</v>
      </c>
      <c r="E61" s="1">
        <v>1365.6</v>
      </c>
      <c r="F61" s="1" t="s">
        <v>20</v>
      </c>
      <c r="G61" s="1">
        <v>0</v>
      </c>
      <c r="H61" s="1">
        <v>13</v>
      </c>
      <c r="I61" s="1">
        <v>0</v>
      </c>
      <c r="J61" s="1">
        <f>K61+L61</f>
        <v>2</v>
      </c>
      <c r="K61" s="1">
        <v>1</v>
      </c>
      <c r="L61" s="1">
        <v>1</v>
      </c>
      <c r="M61" s="1">
        <v>2</v>
      </c>
      <c r="N61" s="1">
        <f>M61+L61+K61</f>
        <v>4</v>
      </c>
      <c r="O61" s="3" t="s">
        <v>71</v>
      </c>
    </row>
    <row r="62" spans="1:15" x14ac:dyDescent="0.2">
      <c r="A62" s="1">
        <v>61</v>
      </c>
      <c r="B62" s="1">
        <v>50</v>
      </c>
      <c r="C62" s="8">
        <v>25.452357813873849</v>
      </c>
      <c r="D62" s="1">
        <v>0</v>
      </c>
      <c r="E62" s="1">
        <v>25.3</v>
      </c>
      <c r="F62" s="1" t="s">
        <v>20</v>
      </c>
      <c r="G62" s="1">
        <v>0</v>
      </c>
      <c r="H62" s="1">
        <v>14</v>
      </c>
      <c r="I62" s="1">
        <v>1</v>
      </c>
      <c r="J62" s="1">
        <f>K62+L62</f>
        <v>2</v>
      </c>
      <c r="K62" s="1">
        <v>0</v>
      </c>
      <c r="L62" s="1">
        <v>2</v>
      </c>
      <c r="M62" s="1">
        <v>0</v>
      </c>
      <c r="N62" s="1">
        <f>M62+L62+K62</f>
        <v>2</v>
      </c>
      <c r="O62" s="3" t="s">
        <v>34</v>
      </c>
    </row>
    <row r="63" spans="1:15" x14ac:dyDescent="0.2">
      <c r="A63" s="1">
        <v>62</v>
      </c>
      <c r="B63" s="1">
        <v>51</v>
      </c>
      <c r="C63" s="8">
        <v>24.767565919829291</v>
      </c>
      <c r="D63" s="1">
        <v>0</v>
      </c>
      <c r="E63" s="1">
        <v>367.7</v>
      </c>
      <c r="F63" s="1" t="s">
        <v>20</v>
      </c>
      <c r="G63" s="1">
        <v>0</v>
      </c>
      <c r="H63" s="1">
        <v>13</v>
      </c>
      <c r="I63" s="1">
        <v>1</v>
      </c>
      <c r="J63" s="1">
        <f>K63+L63</f>
        <v>2</v>
      </c>
      <c r="K63" s="1">
        <v>0</v>
      </c>
      <c r="L63" s="1">
        <v>2</v>
      </c>
      <c r="M63" s="1">
        <v>1</v>
      </c>
      <c r="N63" s="1">
        <f>M63+L63+K63</f>
        <v>3</v>
      </c>
      <c r="O63" s="3" t="s">
        <v>43</v>
      </c>
    </row>
    <row r="64" spans="1:15" x14ac:dyDescent="0.2">
      <c r="A64" s="1">
        <v>63</v>
      </c>
      <c r="B64" s="1">
        <v>47</v>
      </c>
      <c r="C64" s="8">
        <v>21.484374999999996</v>
      </c>
      <c r="D64" s="1">
        <v>0</v>
      </c>
      <c r="E64" s="1">
        <v>2829.4</v>
      </c>
      <c r="F64" s="1">
        <v>153.30000000000001</v>
      </c>
      <c r="G64" s="1">
        <v>0</v>
      </c>
      <c r="H64" s="1">
        <v>15</v>
      </c>
      <c r="I64" s="1">
        <v>0</v>
      </c>
      <c r="J64" s="1">
        <f>K64+L64</f>
        <v>2</v>
      </c>
      <c r="K64" s="1">
        <v>2</v>
      </c>
      <c r="L64" s="1">
        <v>0</v>
      </c>
      <c r="M64" s="1">
        <v>1</v>
      </c>
      <c r="N64" s="1">
        <f>M64+L64+K64</f>
        <v>3</v>
      </c>
      <c r="O64" s="3" t="s">
        <v>40</v>
      </c>
    </row>
    <row r="65" spans="1:15" x14ac:dyDescent="0.2">
      <c r="A65" s="1">
        <v>64</v>
      </c>
      <c r="B65" s="1">
        <v>66</v>
      </c>
      <c r="C65" s="8">
        <v>20.64177143929443</v>
      </c>
      <c r="D65" s="1">
        <v>0</v>
      </c>
      <c r="E65" s="1">
        <v>6.8</v>
      </c>
      <c r="F65" s="1">
        <v>52.8</v>
      </c>
      <c r="G65" s="1">
        <v>0</v>
      </c>
      <c r="H65" s="1">
        <v>11</v>
      </c>
      <c r="I65" s="1">
        <v>1</v>
      </c>
      <c r="J65" s="1">
        <f>K65+L65</f>
        <v>2</v>
      </c>
      <c r="K65" s="1">
        <v>0</v>
      </c>
      <c r="L65" s="1">
        <v>2</v>
      </c>
      <c r="M65" s="1">
        <v>3</v>
      </c>
      <c r="N65" s="1">
        <f>M65+L65+K65</f>
        <v>5</v>
      </c>
      <c r="O65" s="3" t="s">
        <v>56</v>
      </c>
    </row>
    <row r="66" spans="1:15" x14ac:dyDescent="0.2">
      <c r="A66" s="1">
        <v>65</v>
      </c>
      <c r="B66" s="1">
        <v>51</v>
      </c>
      <c r="C66" s="8">
        <v>24.609374999999996</v>
      </c>
      <c r="D66" s="1">
        <v>0</v>
      </c>
      <c r="E66" s="1">
        <v>274.89999999999998</v>
      </c>
      <c r="F66" s="1" t="s">
        <v>20</v>
      </c>
      <c r="G66" s="1">
        <v>0</v>
      </c>
      <c r="H66" s="1">
        <v>12</v>
      </c>
      <c r="I66" s="1">
        <v>1</v>
      </c>
      <c r="J66" s="1">
        <f>K66+L66</f>
        <v>1</v>
      </c>
      <c r="K66" s="1">
        <v>1</v>
      </c>
      <c r="L66" s="1">
        <v>0</v>
      </c>
      <c r="M66" s="1">
        <v>1</v>
      </c>
      <c r="N66" s="1">
        <f>M66+L66+K66</f>
        <v>2</v>
      </c>
      <c r="O66" s="3" t="s">
        <v>29</v>
      </c>
    </row>
    <row r="67" spans="1:15" x14ac:dyDescent="0.2">
      <c r="A67" s="1">
        <v>66</v>
      </c>
      <c r="B67" s="1">
        <v>55</v>
      </c>
      <c r="C67" s="8">
        <v>20.324438255109339</v>
      </c>
      <c r="D67" s="1">
        <v>0</v>
      </c>
      <c r="E67" s="1">
        <v>137</v>
      </c>
      <c r="F67" s="1" t="s">
        <v>20</v>
      </c>
      <c r="G67" s="1">
        <v>0</v>
      </c>
      <c r="H67" s="1">
        <v>14</v>
      </c>
      <c r="I67" s="1">
        <v>1</v>
      </c>
      <c r="J67" s="1">
        <f>K67+L67</f>
        <v>2</v>
      </c>
      <c r="K67" s="1">
        <v>1</v>
      </c>
      <c r="L67" s="1">
        <v>1</v>
      </c>
      <c r="M67" s="1">
        <v>4</v>
      </c>
      <c r="N67" s="1">
        <f>M67+L67+K67</f>
        <v>6</v>
      </c>
      <c r="O67" s="3" t="s">
        <v>21</v>
      </c>
    </row>
    <row r="68" spans="1:15" x14ac:dyDescent="0.2">
      <c r="A68" s="1">
        <v>67</v>
      </c>
      <c r="B68" s="1">
        <v>56</v>
      </c>
      <c r="C68" s="8">
        <v>23.335466144755166</v>
      </c>
      <c r="D68" s="1">
        <v>0</v>
      </c>
      <c r="E68" s="1">
        <v>305</v>
      </c>
      <c r="F68" s="1">
        <v>79.3</v>
      </c>
      <c r="G68" s="1">
        <v>0</v>
      </c>
      <c r="H68" s="1">
        <v>14</v>
      </c>
      <c r="I68" s="1">
        <v>1</v>
      </c>
      <c r="J68" s="1">
        <f>K68+L68</f>
        <v>1</v>
      </c>
      <c r="K68" s="1">
        <v>0</v>
      </c>
      <c r="L68" s="1">
        <v>1</v>
      </c>
      <c r="M68" s="1">
        <v>2</v>
      </c>
      <c r="N68" s="1">
        <f>M68+L68+K68</f>
        <v>3</v>
      </c>
      <c r="O68" s="3" t="s">
        <v>63</v>
      </c>
    </row>
    <row r="69" spans="1:15" x14ac:dyDescent="0.2">
      <c r="A69" s="1">
        <v>68</v>
      </c>
      <c r="B69" s="1">
        <v>53</v>
      </c>
      <c r="C69" s="8">
        <v>24.973985431841829</v>
      </c>
      <c r="D69" s="1">
        <v>0</v>
      </c>
      <c r="E69" s="1">
        <v>1353.2</v>
      </c>
      <c r="F69" s="1">
        <v>263.7</v>
      </c>
      <c r="G69" s="1">
        <v>0</v>
      </c>
      <c r="H69" s="1">
        <v>12</v>
      </c>
      <c r="I69" s="1">
        <v>0</v>
      </c>
      <c r="J69" s="1">
        <f>K69+L69</f>
        <v>2</v>
      </c>
      <c r="K69" s="1">
        <v>0</v>
      </c>
      <c r="L69" s="1">
        <v>2</v>
      </c>
      <c r="M69" s="1">
        <v>3</v>
      </c>
      <c r="N69" s="1">
        <f>M69+L69+K69</f>
        <v>5</v>
      </c>
      <c r="O69" s="3" t="s">
        <v>40</v>
      </c>
    </row>
    <row r="70" spans="1:15" x14ac:dyDescent="0.2">
      <c r="A70" s="1">
        <v>69</v>
      </c>
      <c r="B70" s="1">
        <v>52</v>
      </c>
      <c r="C70" s="8">
        <v>20</v>
      </c>
      <c r="D70" s="1">
        <v>0</v>
      </c>
      <c r="E70" s="1">
        <v>1682.3</v>
      </c>
      <c r="F70" s="1" t="s">
        <v>20</v>
      </c>
      <c r="G70" s="1">
        <v>0</v>
      </c>
      <c r="H70" s="1">
        <v>14</v>
      </c>
      <c r="I70" s="1">
        <v>1</v>
      </c>
      <c r="J70" s="1">
        <f>K70+L70</f>
        <v>2</v>
      </c>
      <c r="K70" s="1">
        <v>0</v>
      </c>
      <c r="L70" s="1">
        <v>2</v>
      </c>
      <c r="M70" s="1">
        <v>3</v>
      </c>
      <c r="N70" s="1">
        <f>M70+L70+K70</f>
        <v>5</v>
      </c>
      <c r="O70" s="3" t="s">
        <v>43</v>
      </c>
    </row>
    <row r="71" spans="1:15" x14ac:dyDescent="0.2">
      <c r="A71" s="1">
        <v>70</v>
      </c>
      <c r="B71" s="1">
        <v>67</v>
      </c>
      <c r="C71" s="8">
        <v>23.781212841854934</v>
      </c>
      <c r="D71" s="1">
        <v>0</v>
      </c>
      <c r="E71" s="1">
        <v>15.6</v>
      </c>
      <c r="F71" s="1" t="s">
        <v>20</v>
      </c>
      <c r="G71" s="1">
        <v>0</v>
      </c>
      <c r="H71" s="1">
        <v>12</v>
      </c>
      <c r="I71" s="1">
        <v>1</v>
      </c>
      <c r="J71" s="1">
        <f>K71+L71</f>
        <v>1</v>
      </c>
      <c r="K71" s="1">
        <v>0</v>
      </c>
      <c r="L71" s="1">
        <v>1</v>
      </c>
      <c r="M71" s="1">
        <v>0</v>
      </c>
      <c r="N71" s="1">
        <f>M71+L71+K71</f>
        <v>1</v>
      </c>
      <c r="O71" s="3" t="s">
        <v>40</v>
      </c>
    </row>
    <row r="72" spans="1:15" x14ac:dyDescent="0.2">
      <c r="A72" s="1">
        <v>71</v>
      </c>
      <c r="B72" s="1">
        <v>52</v>
      </c>
      <c r="C72" s="8">
        <v>29.296874999999993</v>
      </c>
      <c r="D72" s="1">
        <v>0</v>
      </c>
      <c r="E72" s="1">
        <v>445.4</v>
      </c>
      <c r="F72" s="1" t="s">
        <v>20</v>
      </c>
      <c r="G72" s="1">
        <v>1</v>
      </c>
      <c r="H72" s="1">
        <v>15</v>
      </c>
      <c r="I72" s="1">
        <v>0</v>
      </c>
      <c r="J72" s="1">
        <f>K72+L72</f>
        <v>2</v>
      </c>
      <c r="K72" s="1">
        <v>0</v>
      </c>
      <c r="L72" s="1">
        <v>2</v>
      </c>
      <c r="M72" s="1">
        <v>1</v>
      </c>
      <c r="N72" s="1">
        <f>M72+L72+K72</f>
        <v>3</v>
      </c>
      <c r="O72" s="3" t="s">
        <v>64</v>
      </c>
    </row>
    <row r="73" spans="1:15" x14ac:dyDescent="0.2">
      <c r="A73" s="1">
        <v>72</v>
      </c>
      <c r="B73" s="1">
        <v>28</v>
      </c>
      <c r="C73" s="8">
        <v>21.093749999999996</v>
      </c>
      <c r="D73" s="1">
        <v>0</v>
      </c>
      <c r="E73" s="1">
        <v>450.4</v>
      </c>
      <c r="F73" s="1">
        <v>329.6</v>
      </c>
      <c r="G73" s="1">
        <v>0</v>
      </c>
      <c r="H73" s="1">
        <v>12</v>
      </c>
      <c r="I73" s="1">
        <v>0</v>
      </c>
      <c r="J73" s="1">
        <f>K73+L73</f>
        <v>0</v>
      </c>
      <c r="K73" s="1">
        <v>0</v>
      </c>
      <c r="L73" s="1">
        <v>0</v>
      </c>
      <c r="M73" s="1">
        <v>0</v>
      </c>
      <c r="N73" s="1">
        <f>M73+L73+K73</f>
        <v>0</v>
      </c>
      <c r="O73" s="3" t="s">
        <v>37</v>
      </c>
    </row>
    <row r="74" spans="1:15" x14ac:dyDescent="0.2">
      <c r="A74" s="1">
        <v>73</v>
      </c>
      <c r="B74" s="1">
        <v>56</v>
      </c>
      <c r="C74" s="8">
        <v>19.270558643352672</v>
      </c>
      <c r="D74" s="1">
        <v>0</v>
      </c>
      <c r="E74" s="1">
        <v>292.7</v>
      </c>
      <c r="F74" s="1" t="s">
        <v>20</v>
      </c>
      <c r="G74" s="1">
        <v>0</v>
      </c>
      <c r="H74" s="1">
        <v>13</v>
      </c>
      <c r="I74" s="1">
        <v>1</v>
      </c>
      <c r="J74" s="1">
        <f>K74+L74</f>
        <v>0</v>
      </c>
      <c r="K74" s="1">
        <v>0</v>
      </c>
      <c r="L74" s="1">
        <v>0</v>
      </c>
      <c r="M74" s="1">
        <v>3</v>
      </c>
      <c r="N74" s="1">
        <f>M74+L74+K74</f>
        <v>3</v>
      </c>
      <c r="O74" s="3" t="s">
        <v>26</v>
      </c>
    </row>
    <row r="75" spans="1:15" x14ac:dyDescent="0.2">
      <c r="A75" s="1">
        <v>74</v>
      </c>
      <c r="B75" s="1">
        <v>49</v>
      </c>
      <c r="C75" s="8">
        <v>22.222222222222221</v>
      </c>
      <c r="D75" s="1">
        <v>0</v>
      </c>
      <c r="E75" s="1">
        <v>3081.2</v>
      </c>
      <c r="F75" s="1">
        <v>172.6</v>
      </c>
      <c r="G75" s="1">
        <v>0</v>
      </c>
      <c r="H75" s="1">
        <v>13</v>
      </c>
      <c r="I75" s="1">
        <v>0</v>
      </c>
      <c r="J75" s="1">
        <f>K75+L75</f>
        <v>1</v>
      </c>
      <c r="K75" s="1">
        <v>0</v>
      </c>
      <c r="L75" s="1">
        <v>1</v>
      </c>
      <c r="M75" s="1">
        <v>0</v>
      </c>
      <c r="N75" s="1">
        <f>M75+L75+K75</f>
        <v>1</v>
      </c>
      <c r="O75" s="3" t="s">
        <v>66</v>
      </c>
    </row>
    <row r="76" spans="1:15" x14ac:dyDescent="0.2">
      <c r="A76" s="1">
        <v>75</v>
      </c>
      <c r="B76" s="1">
        <v>61</v>
      </c>
      <c r="C76" s="8">
        <v>24.609733700642796</v>
      </c>
      <c r="D76" s="1">
        <v>0</v>
      </c>
      <c r="E76" s="1">
        <v>247.2</v>
      </c>
      <c r="F76" s="1">
        <v>150.4</v>
      </c>
      <c r="G76" s="1">
        <v>0</v>
      </c>
      <c r="H76" s="1">
        <v>12</v>
      </c>
      <c r="I76" s="1">
        <v>1</v>
      </c>
      <c r="J76" s="1">
        <f>K76+L76</f>
        <v>1</v>
      </c>
      <c r="K76" s="1">
        <v>0</v>
      </c>
      <c r="L76" s="1">
        <v>1</v>
      </c>
      <c r="M76" s="1">
        <v>2</v>
      </c>
      <c r="N76" s="1">
        <f>M76+L76+K76</f>
        <v>3</v>
      </c>
      <c r="O76" s="3" t="s">
        <v>65</v>
      </c>
    </row>
    <row r="77" spans="1:15" x14ac:dyDescent="0.2">
      <c r="A77" s="1">
        <v>76</v>
      </c>
      <c r="B77" s="1">
        <v>67</v>
      </c>
      <c r="C77" s="8">
        <v>23.875114784205696</v>
      </c>
      <c r="D77" s="1">
        <v>0</v>
      </c>
      <c r="E77" s="1">
        <v>53.1</v>
      </c>
      <c r="F77" s="1" t="s">
        <v>20</v>
      </c>
      <c r="G77" s="1">
        <v>0</v>
      </c>
      <c r="H77" s="1">
        <v>12</v>
      </c>
      <c r="I77" s="1">
        <v>1</v>
      </c>
      <c r="J77" s="1">
        <f>K77+L77</f>
        <v>2</v>
      </c>
      <c r="K77" s="1">
        <v>0</v>
      </c>
      <c r="L77" s="1">
        <v>2</v>
      </c>
      <c r="M77" s="1">
        <v>0</v>
      </c>
      <c r="N77" s="1">
        <f>M77+L77+K77</f>
        <v>2</v>
      </c>
      <c r="O77" s="3" t="s">
        <v>51</v>
      </c>
    </row>
    <row r="78" spans="1:15" x14ac:dyDescent="0.2">
      <c r="A78" s="1">
        <v>77</v>
      </c>
      <c r="B78" s="1">
        <v>30</v>
      </c>
      <c r="C78" s="8">
        <v>23.875114784205696</v>
      </c>
      <c r="D78" s="1">
        <v>0</v>
      </c>
      <c r="E78" s="1">
        <v>1343.3</v>
      </c>
      <c r="F78" s="1">
        <v>268.3</v>
      </c>
      <c r="G78" s="1">
        <v>0</v>
      </c>
      <c r="H78" s="1">
        <v>14</v>
      </c>
      <c r="I78" s="1">
        <v>0</v>
      </c>
      <c r="J78" s="1">
        <f>K78+L78</f>
        <v>2</v>
      </c>
      <c r="K78" s="1">
        <v>0</v>
      </c>
      <c r="L78" s="1">
        <v>2</v>
      </c>
      <c r="M78" s="1">
        <v>1</v>
      </c>
      <c r="N78" s="1">
        <f>M78+L78+K78</f>
        <v>3</v>
      </c>
      <c r="O78" s="3" t="s">
        <v>83</v>
      </c>
    </row>
    <row r="79" spans="1:15" x14ac:dyDescent="0.2">
      <c r="A79" s="1">
        <v>78</v>
      </c>
      <c r="B79" s="1">
        <v>53</v>
      </c>
      <c r="C79" s="8">
        <v>20.569329660238754</v>
      </c>
      <c r="D79" s="1">
        <v>0</v>
      </c>
      <c r="E79" s="1">
        <v>8.9</v>
      </c>
      <c r="F79" s="1" t="s">
        <v>20</v>
      </c>
      <c r="G79" s="1">
        <v>0</v>
      </c>
      <c r="H79" s="1">
        <v>14</v>
      </c>
      <c r="I79" s="1">
        <v>1</v>
      </c>
      <c r="J79" s="1">
        <f>K79+L79</f>
        <v>2</v>
      </c>
      <c r="K79" s="1">
        <v>0</v>
      </c>
      <c r="L79" s="1">
        <v>2</v>
      </c>
      <c r="M79" s="1">
        <v>1</v>
      </c>
      <c r="N79" s="1">
        <f>M79+L79+K79</f>
        <v>3</v>
      </c>
      <c r="O79" s="3" t="s">
        <v>44</v>
      </c>
    </row>
    <row r="80" spans="1:15" x14ac:dyDescent="0.2">
      <c r="A80" s="1">
        <v>79</v>
      </c>
      <c r="B80" s="1">
        <v>57</v>
      </c>
      <c r="C80" s="8">
        <v>24.341758286340216</v>
      </c>
      <c r="D80" s="1">
        <v>0</v>
      </c>
      <c r="E80" s="1">
        <v>3.3</v>
      </c>
      <c r="F80" s="1">
        <v>49.5</v>
      </c>
      <c r="G80" s="1">
        <v>0</v>
      </c>
      <c r="H80" s="1">
        <v>13</v>
      </c>
      <c r="I80" s="1">
        <v>1</v>
      </c>
      <c r="J80" s="1">
        <f>K80+L80</f>
        <v>1</v>
      </c>
      <c r="K80" s="1">
        <v>0</v>
      </c>
      <c r="L80" s="1">
        <v>1</v>
      </c>
      <c r="M80" s="1">
        <v>0</v>
      </c>
      <c r="N80" s="1">
        <f>M80+L80+K80</f>
        <v>1</v>
      </c>
      <c r="O80" s="3" t="s">
        <v>68</v>
      </c>
    </row>
    <row r="81" spans="1:15" x14ac:dyDescent="0.2">
      <c r="A81" s="1">
        <v>80</v>
      </c>
      <c r="B81" s="1">
        <v>55</v>
      </c>
      <c r="C81" s="8">
        <v>22.632590930940552</v>
      </c>
      <c r="D81" s="1">
        <v>0</v>
      </c>
      <c r="E81" s="1">
        <v>1159.3</v>
      </c>
      <c r="F81" s="1" t="s">
        <v>20</v>
      </c>
      <c r="G81" s="1">
        <v>0</v>
      </c>
      <c r="H81" s="1">
        <v>14</v>
      </c>
      <c r="I81" s="1">
        <v>1</v>
      </c>
      <c r="J81" s="1">
        <f>K81+L81</f>
        <v>1</v>
      </c>
      <c r="K81" s="1">
        <v>0</v>
      </c>
      <c r="L81" s="1">
        <v>1</v>
      </c>
      <c r="M81" s="1">
        <v>2</v>
      </c>
      <c r="N81" s="1">
        <f>M81+L81+K81</f>
        <v>3</v>
      </c>
      <c r="O81" s="3" t="s">
        <v>60</v>
      </c>
    </row>
    <row r="82" spans="1:15" x14ac:dyDescent="0.2">
      <c r="A82" s="1">
        <v>81</v>
      </c>
      <c r="B82" s="1">
        <v>54</v>
      </c>
      <c r="C82" s="8">
        <v>22.939750692520775</v>
      </c>
      <c r="D82" s="1">
        <v>0</v>
      </c>
      <c r="E82" s="1">
        <v>9</v>
      </c>
      <c r="F82" s="1" t="s">
        <v>20</v>
      </c>
      <c r="G82" s="1">
        <v>0</v>
      </c>
      <c r="H82" s="1">
        <v>13</v>
      </c>
      <c r="I82" s="1">
        <v>1</v>
      </c>
      <c r="J82" s="1">
        <f>K82+L82</f>
        <v>1</v>
      </c>
      <c r="K82" s="1">
        <v>1</v>
      </c>
      <c r="L82" s="1">
        <v>0</v>
      </c>
      <c r="M82" s="1">
        <v>2</v>
      </c>
      <c r="N82" s="1">
        <f>M82+L82+K82</f>
        <v>3</v>
      </c>
      <c r="O82" s="3" t="s">
        <v>84</v>
      </c>
    </row>
    <row r="83" spans="1:15" x14ac:dyDescent="0.2">
      <c r="A83" s="1">
        <v>82</v>
      </c>
      <c r="B83" s="1">
        <v>49</v>
      </c>
      <c r="C83" s="8">
        <v>23.19109461966605</v>
      </c>
      <c r="D83" s="1">
        <v>0</v>
      </c>
      <c r="E83" s="1">
        <v>1209.5</v>
      </c>
      <c r="F83" s="1">
        <v>512</v>
      </c>
      <c r="G83" s="1">
        <v>0</v>
      </c>
      <c r="H83" s="1">
        <v>13</v>
      </c>
      <c r="I83" s="1">
        <v>0</v>
      </c>
      <c r="J83" s="1">
        <f>K83+L83</f>
        <v>2</v>
      </c>
      <c r="K83" s="1">
        <v>1</v>
      </c>
      <c r="L83" s="1">
        <v>1</v>
      </c>
      <c r="M83" s="1">
        <v>3</v>
      </c>
      <c r="N83" s="1">
        <f>M83+L83+K83</f>
        <v>5</v>
      </c>
      <c r="O83" s="3" t="s">
        <v>77</v>
      </c>
    </row>
    <row r="84" spans="1:15" x14ac:dyDescent="0.2">
      <c r="A84" s="1">
        <v>83</v>
      </c>
      <c r="B84" s="1">
        <v>58</v>
      </c>
      <c r="C84" s="8">
        <v>24.435186668803073</v>
      </c>
      <c r="D84" s="1">
        <v>0</v>
      </c>
      <c r="E84" s="1">
        <v>9585.5</v>
      </c>
      <c r="F84" s="1" t="s">
        <v>20</v>
      </c>
      <c r="G84" s="1">
        <v>0</v>
      </c>
      <c r="H84" s="1">
        <v>11</v>
      </c>
      <c r="I84" s="1">
        <v>1</v>
      </c>
      <c r="J84" s="1">
        <f>K84+L84</f>
        <v>1</v>
      </c>
      <c r="K84" s="1">
        <v>0</v>
      </c>
      <c r="L84" s="1">
        <v>1</v>
      </c>
      <c r="M84" s="1">
        <v>0</v>
      </c>
      <c r="N84" s="1">
        <f>M84+L84+K84</f>
        <v>1</v>
      </c>
      <c r="O84" s="3" t="s">
        <v>29</v>
      </c>
    </row>
    <row r="85" spans="1:15" x14ac:dyDescent="0.2">
      <c r="A85" s="1">
        <v>84</v>
      </c>
      <c r="B85" s="1">
        <v>29</v>
      </c>
      <c r="C85" s="8">
        <v>26.175194521137367</v>
      </c>
      <c r="D85" s="1">
        <v>0</v>
      </c>
      <c r="E85" s="1">
        <v>40.9</v>
      </c>
      <c r="F85" s="1">
        <v>33.9</v>
      </c>
      <c r="G85" s="1">
        <v>0</v>
      </c>
      <c r="H85" s="1">
        <v>14</v>
      </c>
      <c r="I85" s="1">
        <v>0</v>
      </c>
      <c r="J85" s="1">
        <f>K85+L85</f>
        <v>0</v>
      </c>
      <c r="K85" s="1">
        <v>0</v>
      </c>
      <c r="L85" s="1">
        <v>0</v>
      </c>
      <c r="M85" s="1">
        <v>1</v>
      </c>
      <c r="N85" s="1">
        <f>M85+L85+K85</f>
        <v>1</v>
      </c>
      <c r="O85" s="3" t="s">
        <v>44</v>
      </c>
    </row>
    <row r="86" spans="1:15" x14ac:dyDescent="0.2">
      <c r="A86" s="1">
        <v>85</v>
      </c>
      <c r="B86" s="1">
        <v>50</v>
      </c>
      <c r="C86" s="8">
        <v>22.476586888657646</v>
      </c>
      <c r="D86" s="1">
        <v>0</v>
      </c>
      <c r="E86" s="1">
        <v>11.2</v>
      </c>
      <c r="F86" s="1" t="s">
        <v>20</v>
      </c>
      <c r="G86" s="1">
        <v>1</v>
      </c>
      <c r="H86" s="1">
        <v>14</v>
      </c>
      <c r="I86" s="1">
        <v>1</v>
      </c>
      <c r="J86" s="1">
        <f>K86+L86</f>
        <v>1</v>
      </c>
      <c r="K86" s="1">
        <v>0</v>
      </c>
      <c r="L86" s="1">
        <v>1</v>
      </c>
      <c r="M86" s="1">
        <v>2</v>
      </c>
      <c r="N86" s="1">
        <f>M86+L86+K86</f>
        <v>3</v>
      </c>
      <c r="O86" s="3" t="s">
        <v>44</v>
      </c>
    </row>
    <row r="87" spans="1:15" x14ac:dyDescent="0.2">
      <c r="A87" s="1">
        <v>86</v>
      </c>
      <c r="B87" s="1">
        <v>47</v>
      </c>
      <c r="C87" s="8">
        <v>19.879102600511175</v>
      </c>
      <c r="D87" s="1">
        <v>0</v>
      </c>
      <c r="E87" s="1">
        <v>2659.8</v>
      </c>
      <c r="F87" s="1">
        <v>1358</v>
      </c>
      <c r="G87" s="1">
        <v>0</v>
      </c>
      <c r="H87" s="1">
        <v>17</v>
      </c>
      <c r="I87" s="1">
        <v>0</v>
      </c>
      <c r="J87" s="1">
        <f>K87+L87</f>
        <v>2</v>
      </c>
      <c r="K87" s="1">
        <v>0</v>
      </c>
      <c r="L87" s="1">
        <v>2</v>
      </c>
      <c r="M87" s="1">
        <v>3</v>
      </c>
      <c r="N87" s="1">
        <f>M87+L87+K87</f>
        <v>5</v>
      </c>
      <c r="O87" s="3" t="s">
        <v>66</v>
      </c>
    </row>
    <row r="88" spans="1:15" x14ac:dyDescent="0.2">
      <c r="A88" s="1">
        <v>87</v>
      </c>
      <c r="B88" s="1">
        <v>64</v>
      </c>
      <c r="C88" s="8">
        <v>23.92242299970097</v>
      </c>
      <c r="D88" s="1">
        <v>0</v>
      </c>
      <c r="E88" s="1">
        <v>502.4</v>
      </c>
      <c r="F88" s="1" t="s">
        <v>20</v>
      </c>
      <c r="G88" s="1">
        <v>0</v>
      </c>
      <c r="H88" s="1">
        <v>13</v>
      </c>
      <c r="I88" s="1">
        <v>1</v>
      </c>
      <c r="J88" s="1">
        <f>K88+L88</f>
        <v>1</v>
      </c>
      <c r="K88" s="1">
        <v>0</v>
      </c>
      <c r="L88" s="1">
        <v>1</v>
      </c>
      <c r="M88" s="1">
        <v>1</v>
      </c>
      <c r="N88" s="1">
        <f>M88+L88+K88</f>
        <v>2</v>
      </c>
      <c r="O88" s="3" t="s">
        <v>51</v>
      </c>
    </row>
    <row r="89" spans="1:15" x14ac:dyDescent="0.2">
      <c r="A89" s="1">
        <v>88</v>
      </c>
      <c r="B89" s="1">
        <v>33</v>
      </c>
      <c r="C89" s="8">
        <v>21.30394857667585</v>
      </c>
      <c r="D89" s="1">
        <v>0</v>
      </c>
      <c r="E89" s="1">
        <v>36.799999999999997</v>
      </c>
      <c r="F89" s="1" t="s">
        <v>20</v>
      </c>
      <c r="G89" s="1">
        <v>0</v>
      </c>
      <c r="H89" s="1">
        <v>12</v>
      </c>
      <c r="I89" s="1">
        <v>0</v>
      </c>
      <c r="J89" s="1">
        <f>K89+L89</f>
        <v>1</v>
      </c>
      <c r="K89" s="1">
        <v>0</v>
      </c>
      <c r="L89" s="1">
        <v>1</v>
      </c>
      <c r="M89" s="1">
        <v>2</v>
      </c>
      <c r="N89" s="1">
        <f>M89+L89+K89</f>
        <v>3</v>
      </c>
      <c r="O89" s="3" t="s">
        <v>80</v>
      </c>
    </row>
    <row r="90" spans="1:15" x14ac:dyDescent="0.2">
      <c r="A90" s="1">
        <v>89</v>
      </c>
      <c r="B90" s="1">
        <v>52</v>
      </c>
      <c r="C90" s="8">
        <v>22.432302515622492</v>
      </c>
      <c r="D90" s="1">
        <v>0</v>
      </c>
      <c r="E90" s="1">
        <v>1331.7</v>
      </c>
      <c r="F90" s="1">
        <v>39.1</v>
      </c>
      <c r="G90" s="1">
        <v>0</v>
      </c>
      <c r="H90" s="1">
        <v>13</v>
      </c>
      <c r="I90" s="1">
        <v>1</v>
      </c>
      <c r="J90" s="1">
        <f>K90+L90</f>
        <v>2</v>
      </c>
      <c r="K90" s="1">
        <v>1</v>
      </c>
      <c r="L90" s="1">
        <v>1</v>
      </c>
      <c r="M90" s="1">
        <v>0</v>
      </c>
      <c r="N90" s="1">
        <f>M90+L90+K90</f>
        <v>2</v>
      </c>
      <c r="O90" s="9" t="s">
        <v>23</v>
      </c>
    </row>
    <row r="91" spans="1:15" x14ac:dyDescent="0.2">
      <c r="A91" s="1">
        <v>90</v>
      </c>
      <c r="B91" s="1">
        <v>57</v>
      </c>
      <c r="C91" s="8">
        <v>18.591036746964122</v>
      </c>
      <c r="D91" s="1">
        <v>0</v>
      </c>
      <c r="E91" s="1">
        <v>5.7</v>
      </c>
      <c r="F91" s="1" t="s">
        <v>20</v>
      </c>
      <c r="G91" s="1">
        <v>0</v>
      </c>
      <c r="H91" s="1">
        <v>16</v>
      </c>
      <c r="I91" s="1">
        <v>1</v>
      </c>
      <c r="J91" s="1">
        <f>K91+L91</f>
        <v>1</v>
      </c>
      <c r="K91" s="1">
        <v>0</v>
      </c>
      <c r="L91" s="1">
        <v>1</v>
      </c>
      <c r="M91" s="1">
        <v>1</v>
      </c>
      <c r="N91" s="1">
        <f>M91+L91+K91</f>
        <v>2</v>
      </c>
      <c r="O91" s="3" t="s">
        <v>27</v>
      </c>
    </row>
    <row r="92" spans="1:15" x14ac:dyDescent="0.2">
      <c r="A92" s="1">
        <v>91</v>
      </c>
      <c r="B92" s="1">
        <v>44</v>
      </c>
      <c r="C92" s="8">
        <v>23.875114784205696</v>
      </c>
      <c r="D92" s="1">
        <v>0</v>
      </c>
      <c r="E92" s="1">
        <v>114.4</v>
      </c>
      <c r="F92" s="1" t="s">
        <v>20</v>
      </c>
      <c r="G92" s="1">
        <v>0</v>
      </c>
      <c r="H92" s="1">
        <v>14</v>
      </c>
      <c r="I92" s="1">
        <v>0</v>
      </c>
      <c r="J92" s="1">
        <f>K92+L92</f>
        <v>1</v>
      </c>
      <c r="K92" s="1">
        <v>1</v>
      </c>
      <c r="L92" s="1">
        <v>0</v>
      </c>
      <c r="M92" s="1">
        <v>1</v>
      </c>
      <c r="N92" s="1">
        <f>M92+L92+K92</f>
        <v>2</v>
      </c>
      <c r="O92" s="3" t="s">
        <v>40</v>
      </c>
    </row>
    <row r="93" spans="1:15" x14ac:dyDescent="0.2">
      <c r="A93" s="1">
        <v>92</v>
      </c>
      <c r="B93" s="1">
        <v>45</v>
      </c>
      <c r="C93" s="8">
        <v>25.390624999999996</v>
      </c>
      <c r="D93" s="1">
        <v>0</v>
      </c>
      <c r="E93" s="1">
        <v>1153.5999999999999</v>
      </c>
      <c r="F93" s="1" t="s">
        <v>20</v>
      </c>
      <c r="G93" s="1">
        <v>0</v>
      </c>
      <c r="H93" s="1">
        <v>12</v>
      </c>
      <c r="I93" s="1">
        <v>0</v>
      </c>
      <c r="J93" s="1">
        <f>K93+L93</f>
        <v>2</v>
      </c>
      <c r="K93" s="1">
        <v>0</v>
      </c>
      <c r="L93" s="1">
        <v>2</v>
      </c>
      <c r="M93" s="1">
        <v>1</v>
      </c>
      <c r="N93" s="1">
        <f>M93+L93+K93</f>
        <v>3</v>
      </c>
      <c r="O93" s="3" t="s">
        <v>28</v>
      </c>
    </row>
    <row r="94" spans="1:15" x14ac:dyDescent="0.2">
      <c r="A94" s="1">
        <v>93</v>
      </c>
      <c r="B94" s="1">
        <v>35</v>
      </c>
      <c r="C94" s="8">
        <v>16.560653393052053</v>
      </c>
      <c r="D94" s="1">
        <v>0</v>
      </c>
      <c r="E94" s="1">
        <v>281.8</v>
      </c>
      <c r="F94" s="1" t="s">
        <v>20</v>
      </c>
      <c r="G94" s="1">
        <v>0</v>
      </c>
      <c r="H94" s="1">
        <v>13</v>
      </c>
      <c r="I94" s="1">
        <v>0</v>
      </c>
      <c r="J94" s="1">
        <f>K94+L94</f>
        <v>0</v>
      </c>
      <c r="K94" s="1">
        <v>0</v>
      </c>
      <c r="L94" s="1">
        <v>0</v>
      </c>
      <c r="M94" s="1">
        <v>0</v>
      </c>
      <c r="N94" s="1">
        <f>M94+L94+K94</f>
        <v>0</v>
      </c>
      <c r="O94" s="3" t="s">
        <v>63</v>
      </c>
    </row>
    <row r="95" spans="1:15" x14ac:dyDescent="0.2">
      <c r="A95" s="1">
        <v>94</v>
      </c>
      <c r="B95" s="1">
        <v>65</v>
      </c>
      <c r="C95" s="8">
        <v>24.654832347140037</v>
      </c>
      <c r="D95" s="1">
        <v>0</v>
      </c>
      <c r="E95" s="1">
        <v>284.39999999999998</v>
      </c>
      <c r="F95" s="1" t="s">
        <v>20</v>
      </c>
      <c r="G95" s="1">
        <v>1</v>
      </c>
      <c r="H95" s="1">
        <v>14</v>
      </c>
      <c r="I95" s="1">
        <v>1</v>
      </c>
      <c r="J95" s="1">
        <f>K95+L95</f>
        <v>2</v>
      </c>
      <c r="K95" s="1">
        <v>0</v>
      </c>
      <c r="L95" s="1">
        <v>2</v>
      </c>
      <c r="M95" s="1">
        <v>0</v>
      </c>
      <c r="N95" s="1">
        <f>M95+L95+K95</f>
        <v>2</v>
      </c>
      <c r="O95" s="3" t="s">
        <v>29</v>
      </c>
    </row>
    <row r="96" spans="1:15" x14ac:dyDescent="0.2">
      <c r="A96" s="1">
        <v>95</v>
      </c>
      <c r="B96" s="1">
        <v>49</v>
      </c>
      <c r="C96" s="8">
        <v>24.609374999999996</v>
      </c>
      <c r="D96" s="1">
        <v>0</v>
      </c>
      <c r="E96" s="1">
        <v>557</v>
      </c>
      <c r="F96" s="1">
        <v>2847.3</v>
      </c>
      <c r="G96" s="1">
        <v>1</v>
      </c>
      <c r="H96" s="1">
        <v>16</v>
      </c>
      <c r="I96" s="1">
        <v>0</v>
      </c>
      <c r="J96" s="1">
        <f>K96+L96</f>
        <v>2</v>
      </c>
      <c r="K96" s="1">
        <v>0</v>
      </c>
      <c r="L96" s="1">
        <v>2</v>
      </c>
      <c r="M96" s="1">
        <v>0</v>
      </c>
      <c r="N96" s="1">
        <f>M96+L96+K96</f>
        <v>2</v>
      </c>
      <c r="O96" s="3" t="s">
        <v>29</v>
      </c>
    </row>
    <row r="97" spans="1:15" x14ac:dyDescent="0.2">
      <c r="A97" s="1">
        <v>96</v>
      </c>
      <c r="B97" s="1">
        <v>57</v>
      </c>
      <c r="C97" s="8">
        <v>24.840980089578082</v>
      </c>
      <c r="D97" s="1">
        <v>0</v>
      </c>
      <c r="E97" s="1">
        <v>3017.5</v>
      </c>
      <c r="F97" s="1" t="s">
        <v>20</v>
      </c>
      <c r="G97" s="1">
        <v>0</v>
      </c>
      <c r="H97" s="1">
        <v>16</v>
      </c>
      <c r="I97" s="1">
        <v>1</v>
      </c>
      <c r="J97" s="1">
        <f>K97+L97</f>
        <v>1</v>
      </c>
      <c r="K97" s="1">
        <v>0</v>
      </c>
      <c r="L97" s="1">
        <v>1</v>
      </c>
      <c r="M97" s="1">
        <v>2</v>
      </c>
      <c r="N97" s="1">
        <f>M97+L97+K97</f>
        <v>3</v>
      </c>
      <c r="O97" s="3" t="s">
        <v>67</v>
      </c>
    </row>
    <row r="98" spans="1:15" x14ac:dyDescent="0.2">
      <c r="A98" s="1">
        <v>97</v>
      </c>
      <c r="B98" s="1">
        <v>37</v>
      </c>
      <c r="C98" s="8">
        <v>24.245235284196323</v>
      </c>
      <c r="D98" s="1">
        <v>0</v>
      </c>
      <c r="E98" s="1">
        <v>1137.5999999999999</v>
      </c>
      <c r="F98" s="1" t="s">
        <v>20</v>
      </c>
      <c r="G98" s="1">
        <v>0</v>
      </c>
      <c r="H98" s="1">
        <v>12</v>
      </c>
      <c r="I98" s="1">
        <v>0</v>
      </c>
      <c r="J98" s="1">
        <f>K98+L98</f>
        <v>1</v>
      </c>
      <c r="K98" s="1">
        <v>1</v>
      </c>
      <c r="L98" s="1">
        <v>0</v>
      </c>
      <c r="M98" s="1">
        <v>0</v>
      </c>
      <c r="N98" s="1">
        <f>M98+L98+K98</f>
        <v>1</v>
      </c>
      <c r="O98" s="3" t="s">
        <v>43</v>
      </c>
    </row>
    <row r="99" spans="1:15" x14ac:dyDescent="0.2">
      <c r="A99" s="1">
        <v>98</v>
      </c>
      <c r="B99" s="1">
        <v>54</v>
      </c>
      <c r="C99" s="8">
        <v>24.038461538461537</v>
      </c>
      <c r="D99" s="1">
        <v>0</v>
      </c>
      <c r="E99" s="1">
        <v>1814.1</v>
      </c>
      <c r="F99" s="1" t="s">
        <v>20</v>
      </c>
      <c r="G99" s="1">
        <v>0</v>
      </c>
      <c r="H99" s="1">
        <v>12</v>
      </c>
      <c r="I99" s="1">
        <v>1</v>
      </c>
      <c r="J99" s="1">
        <f>K99+L99</f>
        <v>2</v>
      </c>
      <c r="K99" s="1">
        <v>0</v>
      </c>
      <c r="L99" s="1">
        <v>2</v>
      </c>
      <c r="M99" s="1">
        <v>1</v>
      </c>
      <c r="N99" s="1">
        <f>M99+L99+K99</f>
        <v>3</v>
      </c>
      <c r="O99" s="3" t="s">
        <v>50</v>
      </c>
    </row>
    <row r="100" spans="1:15" x14ac:dyDescent="0.2">
      <c r="A100" s="1">
        <v>99</v>
      </c>
      <c r="B100" s="1">
        <v>47</v>
      </c>
      <c r="C100" s="8">
        <v>21.348669520417388</v>
      </c>
      <c r="D100" s="1">
        <v>0</v>
      </c>
      <c r="E100" s="1">
        <v>8607.2999999999993</v>
      </c>
      <c r="F100" s="1" t="s">
        <v>20</v>
      </c>
      <c r="G100" s="1">
        <v>0</v>
      </c>
      <c r="H100" s="1">
        <v>12</v>
      </c>
      <c r="I100" s="1">
        <v>0</v>
      </c>
      <c r="J100" s="1">
        <f>K100+L100</f>
        <v>1</v>
      </c>
      <c r="K100" s="1">
        <v>1</v>
      </c>
      <c r="L100" s="1">
        <v>0</v>
      </c>
      <c r="M100" s="1">
        <v>3</v>
      </c>
      <c r="N100" s="1">
        <f>M100+L100+K100</f>
        <v>4</v>
      </c>
      <c r="O100" s="3" t="s">
        <v>45</v>
      </c>
    </row>
    <row r="101" spans="1:15" x14ac:dyDescent="0.2">
      <c r="A101" s="1">
        <v>100</v>
      </c>
      <c r="B101" s="1">
        <v>51</v>
      </c>
      <c r="C101" s="8">
        <v>19.031141868512112</v>
      </c>
      <c r="D101" s="1">
        <v>0</v>
      </c>
      <c r="E101" s="1">
        <v>35.799999999999997</v>
      </c>
      <c r="F101" s="1" t="s">
        <v>20</v>
      </c>
      <c r="G101" s="1">
        <v>0</v>
      </c>
      <c r="H101" s="1">
        <v>14</v>
      </c>
      <c r="I101" s="1">
        <v>1</v>
      </c>
      <c r="J101" s="1">
        <f>K101+L101</f>
        <v>1</v>
      </c>
      <c r="K101" s="1">
        <v>1</v>
      </c>
      <c r="L101" s="1">
        <v>0</v>
      </c>
      <c r="M101" s="1">
        <v>0</v>
      </c>
      <c r="N101" s="1">
        <f>M101+L101+K101</f>
        <v>1</v>
      </c>
      <c r="O101" s="3" t="s">
        <v>44</v>
      </c>
    </row>
    <row r="102" spans="1:15" x14ac:dyDescent="0.2">
      <c r="A102" s="1">
        <v>101</v>
      </c>
      <c r="B102" s="1">
        <v>47</v>
      </c>
      <c r="C102" s="8">
        <v>22.222222222222221</v>
      </c>
      <c r="D102" s="1">
        <v>0</v>
      </c>
      <c r="E102" s="1">
        <v>1180.7</v>
      </c>
      <c r="F102" s="1" t="s">
        <v>20</v>
      </c>
      <c r="G102" s="1">
        <v>0</v>
      </c>
      <c r="H102" s="1">
        <v>14</v>
      </c>
      <c r="I102" s="1">
        <v>0</v>
      </c>
      <c r="J102" s="1">
        <f>K102+L102</f>
        <v>1</v>
      </c>
      <c r="K102" s="1">
        <v>0</v>
      </c>
      <c r="L102" s="1">
        <v>1</v>
      </c>
      <c r="M102" s="1">
        <v>2</v>
      </c>
      <c r="N102" s="1">
        <f>M102+L102+K102</f>
        <v>3</v>
      </c>
      <c r="O102" s="3" t="s">
        <v>28</v>
      </c>
    </row>
    <row r="103" spans="1:15" x14ac:dyDescent="0.2">
      <c r="A103" s="1">
        <v>102</v>
      </c>
      <c r="B103" s="1">
        <v>49</v>
      </c>
      <c r="C103" s="8">
        <v>20.322252866889244</v>
      </c>
      <c r="D103" s="1">
        <v>0</v>
      </c>
      <c r="E103" s="1">
        <v>150.4</v>
      </c>
      <c r="F103" s="1">
        <v>158.9</v>
      </c>
      <c r="G103" s="1">
        <v>0</v>
      </c>
      <c r="H103" s="1">
        <v>17</v>
      </c>
      <c r="I103" s="1">
        <v>1</v>
      </c>
      <c r="J103" s="1">
        <f>K103+L103</f>
        <v>1</v>
      </c>
      <c r="K103" s="1">
        <v>0</v>
      </c>
      <c r="L103" s="1">
        <v>1</v>
      </c>
      <c r="M103" s="1">
        <v>0</v>
      </c>
      <c r="N103" s="1">
        <f>M103+L103+K103</f>
        <v>1</v>
      </c>
      <c r="O103" s="3" t="s">
        <v>22</v>
      </c>
    </row>
    <row r="104" spans="1:15" x14ac:dyDescent="0.2">
      <c r="A104" s="1">
        <v>103</v>
      </c>
      <c r="B104" s="1">
        <v>51</v>
      </c>
      <c r="C104" s="8">
        <v>22.718974400584202</v>
      </c>
      <c r="D104" s="1">
        <v>0</v>
      </c>
      <c r="E104" s="1">
        <v>181</v>
      </c>
      <c r="F104" s="1" t="s">
        <v>20</v>
      </c>
      <c r="G104" s="1">
        <v>0</v>
      </c>
      <c r="H104" s="1">
        <v>12</v>
      </c>
      <c r="I104" s="1">
        <v>1</v>
      </c>
      <c r="J104" s="1">
        <f>K104+L104</f>
        <v>1</v>
      </c>
      <c r="K104" s="1">
        <v>0</v>
      </c>
      <c r="L104" s="1">
        <v>1</v>
      </c>
      <c r="M104" s="1">
        <v>5</v>
      </c>
      <c r="N104" s="1">
        <f>M104+L104+K104</f>
        <v>6</v>
      </c>
      <c r="O104" s="3" t="s">
        <v>26</v>
      </c>
    </row>
    <row r="105" spans="1:15" x14ac:dyDescent="0.2">
      <c r="A105" s="1">
        <v>104</v>
      </c>
      <c r="B105" s="1">
        <v>57</v>
      </c>
      <c r="C105" s="8">
        <v>23.022222222222222</v>
      </c>
      <c r="D105" s="1">
        <v>0</v>
      </c>
      <c r="E105" s="1">
        <v>31.7</v>
      </c>
      <c r="F105" s="1">
        <v>57.1</v>
      </c>
      <c r="G105" s="1">
        <v>0</v>
      </c>
      <c r="H105" s="1">
        <v>13</v>
      </c>
      <c r="I105" s="1">
        <v>1</v>
      </c>
      <c r="J105" s="1">
        <f>K105+L105</f>
        <v>2</v>
      </c>
      <c r="K105" s="1">
        <v>0</v>
      </c>
      <c r="L105" s="1">
        <v>2</v>
      </c>
      <c r="M105" s="1">
        <v>1</v>
      </c>
      <c r="N105" s="1">
        <f>M105+L105+K105</f>
        <v>3</v>
      </c>
      <c r="O105" s="3" t="s">
        <v>63</v>
      </c>
    </row>
    <row r="106" spans="1:15" x14ac:dyDescent="0.2">
      <c r="A106" s="1">
        <v>105</v>
      </c>
      <c r="B106" s="1">
        <v>46</v>
      </c>
      <c r="C106" s="8">
        <v>23.936062314901211</v>
      </c>
      <c r="D106" s="1">
        <v>0</v>
      </c>
      <c r="E106" s="1">
        <v>477.4</v>
      </c>
      <c r="F106" s="1">
        <v>163.4</v>
      </c>
      <c r="G106" s="1">
        <v>0</v>
      </c>
      <c r="H106" s="1">
        <v>11</v>
      </c>
      <c r="I106" s="1">
        <v>0</v>
      </c>
      <c r="J106" s="1">
        <f>K106+L106</f>
        <v>1</v>
      </c>
      <c r="K106" s="1">
        <v>1</v>
      </c>
      <c r="L106" s="1">
        <v>0</v>
      </c>
      <c r="M106" s="1">
        <v>4</v>
      </c>
      <c r="N106" s="1">
        <f>M106+L106+K106</f>
        <v>5</v>
      </c>
      <c r="O106" s="3" t="s">
        <v>24</v>
      </c>
    </row>
    <row r="107" spans="1:15" x14ac:dyDescent="0.2">
      <c r="A107" s="1">
        <v>106</v>
      </c>
      <c r="B107" s="1">
        <v>61</v>
      </c>
      <c r="C107" s="8">
        <v>23.739956172388606</v>
      </c>
      <c r="D107" s="1">
        <v>0</v>
      </c>
      <c r="E107" s="1">
        <v>197</v>
      </c>
      <c r="F107" s="1">
        <v>678.6</v>
      </c>
      <c r="G107" s="1">
        <v>0</v>
      </c>
      <c r="H107" s="1">
        <v>17</v>
      </c>
      <c r="I107" s="1">
        <v>1</v>
      </c>
      <c r="J107" s="1">
        <f>K107+L107</f>
        <v>1</v>
      </c>
      <c r="K107" s="1">
        <v>0</v>
      </c>
      <c r="L107" s="1">
        <v>1</v>
      </c>
      <c r="M107" s="1">
        <v>5</v>
      </c>
      <c r="N107" s="1">
        <f>M107+L107+K107</f>
        <v>6</v>
      </c>
      <c r="O107" s="3" t="s">
        <v>43</v>
      </c>
    </row>
    <row r="108" spans="1:15" x14ac:dyDescent="0.2">
      <c r="A108" s="1">
        <v>107</v>
      </c>
      <c r="B108" s="1">
        <v>53</v>
      </c>
      <c r="C108" s="8">
        <v>20</v>
      </c>
      <c r="D108" s="1">
        <v>0</v>
      </c>
      <c r="E108" s="1">
        <v>17.2</v>
      </c>
      <c r="F108" s="1" t="s">
        <v>20</v>
      </c>
      <c r="G108" s="1">
        <v>0</v>
      </c>
      <c r="H108" s="1">
        <v>16</v>
      </c>
      <c r="I108" s="1">
        <v>1</v>
      </c>
      <c r="J108" s="1">
        <f>K108+L108</f>
        <v>2</v>
      </c>
      <c r="K108" s="1">
        <v>0</v>
      </c>
      <c r="L108" s="1">
        <v>2</v>
      </c>
      <c r="M108" s="1">
        <v>2</v>
      </c>
      <c r="N108" s="1">
        <f>M108+L108+K108</f>
        <v>4</v>
      </c>
      <c r="O108" s="3" t="s">
        <v>85</v>
      </c>
    </row>
    <row r="109" spans="1:15" x14ac:dyDescent="0.2">
      <c r="A109" s="1">
        <v>108</v>
      </c>
      <c r="B109" s="1">
        <v>48</v>
      </c>
      <c r="C109" s="8">
        <v>26.91272587466359</v>
      </c>
      <c r="D109" s="1">
        <v>0</v>
      </c>
      <c r="E109" s="1">
        <v>15.2</v>
      </c>
      <c r="F109" s="1">
        <v>54.3</v>
      </c>
      <c r="G109" s="1">
        <v>0</v>
      </c>
      <c r="H109" s="1">
        <v>13</v>
      </c>
      <c r="I109" s="1">
        <v>0</v>
      </c>
      <c r="J109" s="1">
        <f>K109+L109</f>
        <v>2</v>
      </c>
      <c r="K109" s="1">
        <v>1</v>
      </c>
      <c r="L109" s="1">
        <v>1</v>
      </c>
      <c r="M109" s="1">
        <v>1</v>
      </c>
      <c r="N109" s="1">
        <f>M109+L109+K109</f>
        <v>3</v>
      </c>
      <c r="O109" s="3" t="s">
        <v>44</v>
      </c>
    </row>
    <row r="110" spans="1:15" x14ac:dyDescent="0.2">
      <c r="A110" s="1">
        <v>109</v>
      </c>
      <c r="B110" s="1">
        <v>38</v>
      </c>
      <c r="C110" s="8">
        <v>17.799928800284796</v>
      </c>
      <c r="D110" s="1">
        <v>0</v>
      </c>
      <c r="E110" s="1">
        <v>240.8</v>
      </c>
      <c r="F110" s="1">
        <v>90.4</v>
      </c>
      <c r="G110" s="1">
        <v>0</v>
      </c>
      <c r="H110" s="1">
        <v>14</v>
      </c>
      <c r="I110" s="1">
        <v>0</v>
      </c>
      <c r="J110" s="1">
        <f>K110+L110</f>
        <v>0</v>
      </c>
      <c r="K110" s="1">
        <v>0</v>
      </c>
      <c r="L110" s="1">
        <v>0</v>
      </c>
      <c r="M110" s="1">
        <v>1</v>
      </c>
      <c r="N110" s="1">
        <f>M110+L110+K110</f>
        <v>1</v>
      </c>
      <c r="O110" s="11" t="s">
        <v>78</v>
      </c>
    </row>
    <row r="111" spans="1:15" x14ac:dyDescent="0.2">
      <c r="A111" s="1">
        <v>110</v>
      </c>
      <c r="B111" s="1">
        <v>47</v>
      </c>
      <c r="C111" s="8">
        <v>23.437499999999996</v>
      </c>
      <c r="D111" s="1">
        <v>0</v>
      </c>
      <c r="E111" s="1">
        <v>1391.4</v>
      </c>
      <c r="F111" s="1">
        <v>250.6</v>
      </c>
      <c r="G111" s="1">
        <v>0</v>
      </c>
      <c r="H111" s="1">
        <v>14</v>
      </c>
      <c r="I111" s="1">
        <v>0</v>
      </c>
      <c r="J111" s="1">
        <f>K111+L111</f>
        <v>1</v>
      </c>
      <c r="K111" s="1">
        <v>0</v>
      </c>
      <c r="L111" s="1">
        <v>1</v>
      </c>
      <c r="M111" s="1">
        <v>1</v>
      </c>
      <c r="N111" s="1">
        <f>M111+L111+K111</f>
        <v>2</v>
      </c>
      <c r="O111" s="3" t="s">
        <v>24</v>
      </c>
    </row>
    <row r="112" spans="1:15" x14ac:dyDescent="0.2">
      <c r="A112" s="1">
        <v>111</v>
      </c>
      <c r="B112" s="1">
        <v>66</v>
      </c>
      <c r="C112" s="8">
        <v>30.312499999999993</v>
      </c>
      <c r="D112" s="1">
        <v>0</v>
      </c>
      <c r="E112" s="1">
        <v>1208.2</v>
      </c>
      <c r="F112" s="1" t="s">
        <v>20</v>
      </c>
      <c r="G112" s="1">
        <v>1</v>
      </c>
      <c r="H112" s="1">
        <v>12</v>
      </c>
      <c r="I112" s="1">
        <v>1</v>
      </c>
      <c r="J112" s="1">
        <f>K112+L112</f>
        <v>1</v>
      </c>
      <c r="K112" s="1">
        <v>0</v>
      </c>
      <c r="L112" s="1">
        <v>1</v>
      </c>
      <c r="M112" s="1">
        <v>5</v>
      </c>
      <c r="N112" s="1">
        <f>M112+L112+K112</f>
        <v>6</v>
      </c>
      <c r="O112" s="3" t="s">
        <v>29</v>
      </c>
    </row>
    <row r="113" spans="1:15" x14ac:dyDescent="0.2">
      <c r="A113" s="1">
        <v>112</v>
      </c>
      <c r="B113" s="1">
        <v>50</v>
      </c>
      <c r="C113" s="8">
        <v>20.126385041551245</v>
      </c>
      <c r="D113" s="1">
        <v>0</v>
      </c>
      <c r="E113" s="1">
        <v>238.2</v>
      </c>
      <c r="F113" s="1" t="s">
        <v>20</v>
      </c>
      <c r="G113" s="1">
        <v>1</v>
      </c>
      <c r="H113" s="1">
        <v>12</v>
      </c>
      <c r="I113" s="1">
        <v>1</v>
      </c>
      <c r="J113" s="1">
        <f>K113+L113</f>
        <v>2</v>
      </c>
      <c r="K113" s="1">
        <v>0</v>
      </c>
      <c r="L113" s="1">
        <v>2</v>
      </c>
      <c r="M113" s="1">
        <v>1</v>
      </c>
      <c r="N113" s="1">
        <f>M113+L113+K113</f>
        <v>3</v>
      </c>
      <c r="O113" s="3" t="s">
        <v>68</v>
      </c>
    </row>
    <row r="114" spans="1:15" x14ac:dyDescent="0.2">
      <c r="A114" s="1">
        <v>113</v>
      </c>
      <c r="B114" s="1">
        <v>52</v>
      </c>
      <c r="C114" s="8">
        <v>22.656249999999996</v>
      </c>
      <c r="D114" s="1">
        <v>0</v>
      </c>
      <c r="E114" s="1">
        <v>48.7</v>
      </c>
      <c r="F114" s="1" t="s">
        <v>20</v>
      </c>
      <c r="G114" s="1">
        <v>0</v>
      </c>
      <c r="H114" s="1">
        <v>13</v>
      </c>
      <c r="I114" s="1">
        <v>0</v>
      </c>
      <c r="J114" s="1">
        <f>K114+L114</f>
        <v>1</v>
      </c>
      <c r="K114" s="1">
        <v>0</v>
      </c>
      <c r="L114" s="1">
        <v>1</v>
      </c>
      <c r="M114" s="1">
        <v>1</v>
      </c>
      <c r="N114" s="1">
        <f>M114+L114+K114</f>
        <v>2</v>
      </c>
      <c r="O114" s="3" t="s">
        <v>45</v>
      </c>
    </row>
    <row r="115" spans="1:15" x14ac:dyDescent="0.2">
      <c r="A115" s="1">
        <v>114</v>
      </c>
      <c r="B115" s="1">
        <v>50</v>
      </c>
      <c r="C115" s="8">
        <v>24.034609838166958</v>
      </c>
      <c r="D115" s="1">
        <v>0</v>
      </c>
      <c r="E115" s="1">
        <v>8797.2999999999993</v>
      </c>
      <c r="F115" s="1" t="s">
        <v>20</v>
      </c>
      <c r="G115" s="1">
        <v>0</v>
      </c>
      <c r="H115" s="1">
        <v>14</v>
      </c>
      <c r="I115" s="1">
        <v>1</v>
      </c>
      <c r="J115" s="1">
        <f>K115+L115</f>
        <v>1</v>
      </c>
      <c r="K115" s="1">
        <v>0</v>
      </c>
      <c r="L115" s="1">
        <v>1</v>
      </c>
      <c r="M115" s="1">
        <v>3</v>
      </c>
      <c r="N115" s="1">
        <f>M115+L115+K115</f>
        <v>4</v>
      </c>
      <c r="O115" s="3" t="s">
        <v>38</v>
      </c>
    </row>
    <row r="116" spans="1:15" x14ac:dyDescent="0.2">
      <c r="A116" s="1">
        <v>115</v>
      </c>
      <c r="B116" s="1">
        <v>47</v>
      </c>
      <c r="C116" s="8">
        <v>22.832879346258608</v>
      </c>
      <c r="D116" s="1">
        <v>0</v>
      </c>
      <c r="E116" s="1">
        <v>3059.7</v>
      </c>
      <c r="F116" s="1" t="s">
        <v>20</v>
      </c>
      <c r="G116" s="1">
        <v>0</v>
      </c>
      <c r="H116" s="1">
        <v>13</v>
      </c>
      <c r="I116" s="1">
        <v>0</v>
      </c>
      <c r="J116" s="1">
        <f>K116+L116</f>
        <v>1</v>
      </c>
      <c r="K116" s="1">
        <v>0</v>
      </c>
      <c r="L116" s="1">
        <v>1</v>
      </c>
      <c r="M116" s="1">
        <v>2</v>
      </c>
      <c r="N116" s="1">
        <f>M116+L116+K116</f>
        <v>3</v>
      </c>
      <c r="O116" s="3" t="s">
        <v>28</v>
      </c>
    </row>
    <row r="117" spans="1:15" x14ac:dyDescent="0.2">
      <c r="A117" s="1">
        <v>116</v>
      </c>
      <c r="B117" s="1">
        <v>53</v>
      </c>
      <c r="C117" s="8">
        <v>24.444444444444443</v>
      </c>
      <c r="D117" s="1">
        <v>0</v>
      </c>
      <c r="E117" s="1">
        <v>6837.5</v>
      </c>
      <c r="F117" s="1" t="s">
        <v>20</v>
      </c>
      <c r="G117" s="1">
        <v>0</v>
      </c>
      <c r="H117" s="1">
        <v>16</v>
      </c>
      <c r="I117" s="1">
        <v>1</v>
      </c>
      <c r="J117" s="1">
        <f>K117+L117</f>
        <v>1</v>
      </c>
      <c r="K117" s="1">
        <v>0</v>
      </c>
      <c r="L117" s="1">
        <v>1</v>
      </c>
      <c r="M117" s="1">
        <v>0</v>
      </c>
      <c r="N117" s="1">
        <f>M117+L117+K117</f>
        <v>1</v>
      </c>
      <c r="O117" s="3" t="s">
        <v>29</v>
      </c>
    </row>
    <row r="118" spans="1:15" x14ac:dyDescent="0.2">
      <c r="A118" s="1">
        <v>117</v>
      </c>
      <c r="B118" s="1">
        <v>48</v>
      </c>
      <c r="C118" s="8">
        <v>22.582709172343712</v>
      </c>
      <c r="D118" s="1">
        <v>0</v>
      </c>
      <c r="E118" s="1">
        <v>554.79999999999995</v>
      </c>
      <c r="F118" s="1">
        <v>946.1</v>
      </c>
      <c r="G118" s="1">
        <v>0</v>
      </c>
      <c r="H118" s="1">
        <v>13</v>
      </c>
      <c r="I118" s="1">
        <v>0</v>
      </c>
      <c r="J118" s="1">
        <f>K118+L118</f>
        <v>1</v>
      </c>
      <c r="K118" s="1">
        <v>1</v>
      </c>
      <c r="L118" s="1">
        <v>0</v>
      </c>
      <c r="M118" s="1">
        <v>4</v>
      </c>
      <c r="N118" s="1">
        <f>M118+L118+K118</f>
        <v>5</v>
      </c>
      <c r="O118" s="3" t="s">
        <v>29</v>
      </c>
    </row>
    <row r="119" spans="1:15" x14ac:dyDescent="0.2">
      <c r="A119" s="1">
        <v>118</v>
      </c>
      <c r="B119" s="1">
        <v>58</v>
      </c>
      <c r="C119" s="8">
        <v>20.5456936226167</v>
      </c>
      <c r="D119" s="1">
        <v>0</v>
      </c>
      <c r="E119" s="1">
        <v>2672.8</v>
      </c>
      <c r="F119" s="1" t="s">
        <v>20</v>
      </c>
      <c r="G119" s="1">
        <v>0</v>
      </c>
      <c r="H119" s="1">
        <v>13</v>
      </c>
      <c r="I119" s="1">
        <v>1</v>
      </c>
      <c r="J119" s="1">
        <f>K119+L119</f>
        <v>2</v>
      </c>
      <c r="K119" s="1">
        <v>0</v>
      </c>
      <c r="L119" s="1">
        <v>2</v>
      </c>
      <c r="M119" s="1">
        <v>1</v>
      </c>
      <c r="N119" s="1">
        <f>M119+L119+K119</f>
        <v>3</v>
      </c>
      <c r="O119" s="3" t="s">
        <v>26</v>
      </c>
    </row>
    <row r="120" spans="1:15" x14ac:dyDescent="0.2">
      <c r="A120" s="1">
        <v>119</v>
      </c>
      <c r="B120" s="1">
        <v>48</v>
      </c>
      <c r="C120" s="8">
        <v>24.524346347059055</v>
      </c>
      <c r="D120" s="1">
        <v>0</v>
      </c>
      <c r="E120" s="1">
        <v>205.7</v>
      </c>
      <c r="F120" s="1" t="s">
        <v>20</v>
      </c>
      <c r="G120" s="1">
        <v>0</v>
      </c>
      <c r="H120" s="1">
        <v>13</v>
      </c>
      <c r="I120" s="1">
        <v>0</v>
      </c>
      <c r="J120" s="1">
        <f>K120+L120</f>
        <v>1</v>
      </c>
      <c r="K120" s="1">
        <v>0</v>
      </c>
      <c r="L120" s="1">
        <v>1</v>
      </c>
      <c r="M120" s="1">
        <v>1</v>
      </c>
      <c r="N120" s="1">
        <f>M120+L120+K120</f>
        <v>2</v>
      </c>
      <c r="O120" s="3" t="s">
        <v>29</v>
      </c>
    </row>
    <row r="121" spans="1:15" x14ac:dyDescent="0.2">
      <c r="A121" s="1">
        <v>120</v>
      </c>
      <c r="B121" s="1">
        <v>58</v>
      </c>
      <c r="C121" s="8">
        <v>18.730489073881373</v>
      </c>
      <c r="D121" s="1">
        <v>0</v>
      </c>
      <c r="E121" s="1">
        <v>579.6</v>
      </c>
      <c r="F121" s="1">
        <v>446.8</v>
      </c>
      <c r="G121" s="1">
        <v>0</v>
      </c>
      <c r="H121" s="1">
        <v>13</v>
      </c>
      <c r="I121" s="1">
        <v>1</v>
      </c>
      <c r="J121" s="1">
        <f>K121+L121</f>
        <v>1</v>
      </c>
      <c r="K121" s="1">
        <v>0</v>
      </c>
      <c r="L121" s="1">
        <v>1</v>
      </c>
      <c r="M121" s="1">
        <v>2</v>
      </c>
      <c r="N121" s="1">
        <f>M121+L121+K121</f>
        <v>3</v>
      </c>
      <c r="O121" s="3" t="s">
        <v>29</v>
      </c>
    </row>
    <row r="122" spans="1:15" x14ac:dyDescent="0.2">
      <c r="A122" s="1">
        <v>121</v>
      </c>
      <c r="B122" s="1">
        <v>54</v>
      </c>
      <c r="C122" s="8">
        <v>19.979188345473464</v>
      </c>
      <c r="D122" s="1">
        <v>0</v>
      </c>
      <c r="E122" s="1">
        <v>1054</v>
      </c>
      <c r="F122" s="1">
        <v>129.5</v>
      </c>
      <c r="G122" s="1">
        <v>0</v>
      </c>
      <c r="H122" s="1">
        <v>14</v>
      </c>
      <c r="I122" s="1">
        <v>1</v>
      </c>
      <c r="J122" s="1">
        <f>K122+L122</f>
        <v>1</v>
      </c>
      <c r="K122" s="1">
        <v>0</v>
      </c>
      <c r="L122" s="1">
        <v>1</v>
      </c>
      <c r="M122" s="1">
        <v>4</v>
      </c>
      <c r="N122" s="1">
        <f>M122+L122+K122</f>
        <v>5</v>
      </c>
      <c r="O122" s="3" t="s">
        <v>29</v>
      </c>
    </row>
    <row r="123" spans="1:15" x14ac:dyDescent="0.2">
      <c r="A123" s="1">
        <v>122</v>
      </c>
      <c r="B123" s="1">
        <v>47</v>
      </c>
      <c r="C123" s="8">
        <v>24.038461538461537</v>
      </c>
      <c r="D123" s="1">
        <v>0</v>
      </c>
      <c r="E123" s="1">
        <v>2404.4</v>
      </c>
      <c r="F123" s="1" t="s">
        <v>20</v>
      </c>
      <c r="G123" s="1">
        <v>0</v>
      </c>
      <c r="H123" s="1">
        <v>14</v>
      </c>
      <c r="I123" s="1">
        <v>0</v>
      </c>
      <c r="J123" s="1">
        <f>K123+L123</f>
        <v>1</v>
      </c>
      <c r="K123" s="1">
        <v>1</v>
      </c>
      <c r="L123" s="1">
        <v>0</v>
      </c>
      <c r="M123" s="1">
        <v>1</v>
      </c>
      <c r="N123" s="1">
        <f>M123+L123+K123</f>
        <v>2</v>
      </c>
      <c r="O123" s="3" t="s">
        <v>32</v>
      </c>
    </row>
    <row r="124" spans="1:15" x14ac:dyDescent="0.2">
      <c r="A124" s="1">
        <v>123</v>
      </c>
      <c r="B124" s="1">
        <v>57</v>
      </c>
      <c r="C124" s="8">
        <v>23.495236874706311</v>
      </c>
      <c r="D124" s="1">
        <v>0</v>
      </c>
      <c r="E124" s="1">
        <v>2415.1999999999998</v>
      </c>
      <c r="F124" s="1" t="s">
        <v>20</v>
      </c>
      <c r="G124" s="1">
        <v>0</v>
      </c>
      <c r="H124" s="1">
        <v>13</v>
      </c>
      <c r="I124" s="1">
        <v>1</v>
      </c>
      <c r="J124" s="1">
        <f>K124+L124</f>
        <v>1</v>
      </c>
      <c r="K124" s="1">
        <v>0</v>
      </c>
      <c r="L124" s="1">
        <v>1</v>
      </c>
      <c r="M124" s="1">
        <v>0</v>
      </c>
      <c r="N124" s="1">
        <f>M124+L124+K124</f>
        <v>1</v>
      </c>
      <c r="O124" s="3" t="s">
        <v>40</v>
      </c>
    </row>
    <row r="125" spans="1:15" x14ac:dyDescent="0.2">
      <c r="A125" s="1">
        <v>124</v>
      </c>
      <c r="B125" s="1">
        <v>55</v>
      </c>
      <c r="C125" s="8">
        <v>22.718974400584202</v>
      </c>
      <c r="D125" s="1">
        <v>1</v>
      </c>
      <c r="E125" s="1">
        <v>384.6</v>
      </c>
      <c r="F125" s="1" t="s">
        <v>20</v>
      </c>
      <c r="G125" s="1">
        <v>0</v>
      </c>
      <c r="H125" s="1">
        <v>12</v>
      </c>
      <c r="I125" s="1">
        <v>1</v>
      </c>
      <c r="J125" s="1">
        <f>K125+L125</f>
        <v>2</v>
      </c>
      <c r="K125" s="1">
        <v>0</v>
      </c>
      <c r="L125" s="1">
        <v>2</v>
      </c>
      <c r="M125" s="1">
        <v>0</v>
      </c>
      <c r="N125" s="1">
        <f>M125+L125+K125</f>
        <v>2</v>
      </c>
      <c r="O125" s="3" t="s">
        <v>41</v>
      </c>
    </row>
    <row r="126" spans="1:15" x14ac:dyDescent="0.2">
      <c r="A126" s="1">
        <v>125</v>
      </c>
      <c r="B126" s="1">
        <v>50</v>
      </c>
      <c r="C126" s="8">
        <v>21.777777777777779</v>
      </c>
      <c r="D126" s="1">
        <v>0</v>
      </c>
      <c r="E126" s="1">
        <v>322.5</v>
      </c>
      <c r="F126" s="1" t="s">
        <v>20</v>
      </c>
      <c r="G126" s="1">
        <v>0</v>
      </c>
      <c r="H126" s="1">
        <v>14</v>
      </c>
      <c r="I126" s="1">
        <v>0</v>
      </c>
      <c r="J126" s="1">
        <f>K126+L126</f>
        <v>1</v>
      </c>
      <c r="K126" s="1">
        <v>1</v>
      </c>
      <c r="L126" s="1">
        <v>0</v>
      </c>
      <c r="M126" s="1">
        <v>2</v>
      </c>
      <c r="N126" s="1">
        <f>M126+L126+K126</f>
        <v>3</v>
      </c>
      <c r="O126" s="3" t="s">
        <v>22</v>
      </c>
    </row>
    <row r="127" spans="1:15" x14ac:dyDescent="0.2">
      <c r="A127" s="1">
        <v>126</v>
      </c>
      <c r="B127" s="1">
        <v>44</v>
      </c>
      <c r="C127" s="8">
        <v>20.195092211553114</v>
      </c>
      <c r="D127" s="1">
        <v>0</v>
      </c>
      <c r="E127" s="1">
        <v>223</v>
      </c>
      <c r="F127" s="1" t="s">
        <v>20</v>
      </c>
      <c r="G127" s="1">
        <v>0</v>
      </c>
      <c r="H127" s="1">
        <v>12</v>
      </c>
      <c r="I127" s="1">
        <v>0</v>
      </c>
      <c r="J127" s="1">
        <f>K127+L127</f>
        <v>1</v>
      </c>
      <c r="K127" s="1">
        <v>0</v>
      </c>
      <c r="L127" s="1">
        <v>1</v>
      </c>
      <c r="M127" s="1">
        <v>5</v>
      </c>
      <c r="N127" s="1">
        <f>M127+L127+K127</f>
        <v>6</v>
      </c>
      <c r="O127" s="3" t="s">
        <v>32</v>
      </c>
    </row>
    <row r="128" spans="1:15" x14ac:dyDescent="0.2">
      <c r="A128" s="1">
        <v>127</v>
      </c>
      <c r="B128" s="1">
        <v>49</v>
      </c>
      <c r="C128" s="8">
        <v>26.479181884587291</v>
      </c>
      <c r="D128" s="1">
        <v>0</v>
      </c>
      <c r="E128" s="1">
        <v>334.8</v>
      </c>
      <c r="F128" s="1" t="s">
        <v>20</v>
      </c>
      <c r="G128" s="1">
        <v>0</v>
      </c>
      <c r="H128" s="1">
        <v>13</v>
      </c>
      <c r="I128" s="1">
        <v>1</v>
      </c>
      <c r="J128" s="1">
        <f>K128+L128</f>
        <v>1</v>
      </c>
      <c r="K128" s="1">
        <v>0</v>
      </c>
      <c r="L128" s="1">
        <v>1</v>
      </c>
      <c r="M128" s="1">
        <v>1</v>
      </c>
      <c r="N128" s="1">
        <f>M128+L128+K128</f>
        <v>2</v>
      </c>
      <c r="O128" s="3" t="s">
        <v>24</v>
      </c>
    </row>
    <row r="129" spans="1:15" x14ac:dyDescent="0.2">
      <c r="A129" s="1">
        <v>128</v>
      </c>
      <c r="B129" s="1">
        <v>50</v>
      </c>
      <c r="C129" s="8">
        <v>20.775623268698062</v>
      </c>
      <c r="D129" s="1">
        <v>0</v>
      </c>
      <c r="E129" s="1">
        <v>452</v>
      </c>
      <c r="F129" s="1">
        <v>160</v>
      </c>
      <c r="G129" s="1">
        <v>0</v>
      </c>
      <c r="H129" s="1">
        <v>12</v>
      </c>
      <c r="I129" s="1">
        <v>0</v>
      </c>
      <c r="J129" s="1">
        <f>K129+L129</f>
        <v>1</v>
      </c>
      <c r="K129" s="1">
        <v>1</v>
      </c>
      <c r="L129" s="1">
        <v>0</v>
      </c>
      <c r="M129" s="1">
        <v>2</v>
      </c>
      <c r="N129" s="1">
        <f>M129+L129+K129</f>
        <v>3</v>
      </c>
      <c r="O129" s="3" t="s">
        <v>29</v>
      </c>
    </row>
    <row r="130" spans="1:15" x14ac:dyDescent="0.2">
      <c r="A130" s="1">
        <v>129</v>
      </c>
      <c r="B130" s="1">
        <v>47</v>
      </c>
      <c r="C130" s="8">
        <v>22.862368541380881</v>
      </c>
      <c r="D130" s="1">
        <v>1</v>
      </c>
      <c r="E130" s="1">
        <v>530.79999999999995</v>
      </c>
      <c r="F130" s="1" t="s">
        <v>20</v>
      </c>
      <c r="G130" s="1">
        <v>1</v>
      </c>
      <c r="H130" s="1">
        <v>13</v>
      </c>
      <c r="I130" s="1">
        <v>0</v>
      </c>
      <c r="J130" s="1">
        <f>K130+L130</f>
        <v>1</v>
      </c>
      <c r="K130" s="1">
        <v>1</v>
      </c>
      <c r="L130" s="1">
        <v>0</v>
      </c>
      <c r="M130" s="1">
        <v>2</v>
      </c>
      <c r="N130" s="1">
        <f>M130+L130+K130</f>
        <v>3</v>
      </c>
      <c r="O130" s="3" t="s">
        <v>29</v>
      </c>
    </row>
    <row r="131" spans="1:15" x14ac:dyDescent="0.2">
      <c r="A131" s="1">
        <v>130</v>
      </c>
      <c r="B131" s="1">
        <v>49</v>
      </c>
      <c r="C131" s="8">
        <v>19.26073407202216</v>
      </c>
      <c r="D131" s="1">
        <v>0</v>
      </c>
      <c r="E131" s="1">
        <v>2364</v>
      </c>
      <c r="F131" s="1" t="s">
        <v>20</v>
      </c>
      <c r="G131" s="1">
        <v>0</v>
      </c>
      <c r="H131" s="1">
        <v>13</v>
      </c>
      <c r="I131" s="1">
        <v>1</v>
      </c>
      <c r="J131" s="1">
        <f>K131+L131</f>
        <v>0</v>
      </c>
      <c r="K131" s="1">
        <v>0</v>
      </c>
      <c r="L131" s="1">
        <v>0</v>
      </c>
      <c r="M131" s="1">
        <v>0</v>
      </c>
      <c r="N131" s="1">
        <f>M131+L131+K131</f>
        <v>0</v>
      </c>
      <c r="O131" s="3" t="s">
        <v>24</v>
      </c>
    </row>
    <row r="132" spans="1:15" x14ac:dyDescent="0.2">
      <c r="A132" s="1">
        <v>131</v>
      </c>
      <c r="B132" s="1">
        <v>47</v>
      </c>
      <c r="C132" s="8">
        <v>22.031725684986377</v>
      </c>
      <c r="D132" s="1">
        <v>0</v>
      </c>
      <c r="E132" s="1">
        <v>2833.6</v>
      </c>
      <c r="F132" s="1" t="s">
        <v>20</v>
      </c>
      <c r="G132" s="1">
        <v>0</v>
      </c>
      <c r="H132" s="1">
        <v>14</v>
      </c>
      <c r="I132" s="1">
        <v>1</v>
      </c>
      <c r="J132" s="1">
        <f>K132+L132</f>
        <v>2</v>
      </c>
      <c r="K132" s="1">
        <v>0</v>
      </c>
      <c r="L132" s="1">
        <v>2</v>
      </c>
      <c r="M132" s="1">
        <v>2</v>
      </c>
      <c r="N132" s="1">
        <f>M132+L132+K132</f>
        <v>4</v>
      </c>
      <c r="O132" s="3" t="s">
        <v>26</v>
      </c>
    </row>
    <row r="133" spans="1:15" x14ac:dyDescent="0.2">
      <c r="A133" s="1">
        <v>132</v>
      </c>
      <c r="B133" s="1">
        <v>56</v>
      </c>
      <c r="C133" s="8">
        <v>24.005486968449926</v>
      </c>
      <c r="D133" s="1">
        <v>0</v>
      </c>
      <c r="E133" s="1">
        <v>382.5</v>
      </c>
      <c r="F133" s="1" t="s">
        <v>20</v>
      </c>
      <c r="G133" s="1">
        <v>1</v>
      </c>
      <c r="H133" s="1">
        <v>13</v>
      </c>
      <c r="I133" s="1">
        <v>1</v>
      </c>
      <c r="J133" s="1">
        <f>K133+L133</f>
        <v>2</v>
      </c>
      <c r="K133" s="1">
        <v>0</v>
      </c>
      <c r="L133" s="1">
        <v>2</v>
      </c>
      <c r="M133" s="1">
        <v>6</v>
      </c>
      <c r="N133" s="1">
        <f>M133+L133+K133</f>
        <v>8</v>
      </c>
      <c r="O133" s="3" t="s">
        <v>82</v>
      </c>
    </row>
    <row r="134" spans="1:15" x14ac:dyDescent="0.2">
      <c r="A134" s="1">
        <v>133</v>
      </c>
      <c r="B134" s="1">
        <v>39</v>
      </c>
      <c r="C134" s="8">
        <v>21.227887617065555</v>
      </c>
      <c r="D134" s="1">
        <v>0</v>
      </c>
      <c r="E134" s="1">
        <v>34.1</v>
      </c>
      <c r="F134" s="1" t="s">
        <v>20</v>
      </c>
      <c r="G134" s="1">
        <v>0</v>
      </c>
      <c r="H134" s="1">
        <v>13</v>
      </c>
      <c r="I134" s="1">
        <v>0</v>
      </c>
      <c r="J134" s="1">
        <f>K134+L134</f>
        <v>0</v>
      </c>
      <c r="K134" s="1">
        <v>0</v>
      </c>
      <c r="L134" s="1">
        <v>0</v>
      </c>
      <c r="M134" s="1">
        <v>0</v>
      </c>
      <c r="N134" s="1">
        <f>M134+L134+K134</f>
        <v>0</v>
      </c>
      <c r="O134" s="3" t="s">
        <v>68</v>
      </c>
    </row>
    <row r="135" spans="1:15" x14ac:dyDescent="0.2">
      <c r="A135" s="1">
        <v>134</v>
      </c>
      <c r="B135" s="1">
        <v>57</v>
      </c>
      <c r="C135" s="8">
        <v>22.265624999999996</v>
      </c>
      <c r="D135" s="1">
        <v>0</v>
      </c>
      <c r="E135" s="1">
        <v>270.39999999999998</v>
      </c>
      <c r="F135" s="1" t="s">
        <v>20</v>
      </c>
      <c r="G135" s="1">
        <v>1</v>
      </c>
      <c r="H135" s="1">
        <v>13</v>
      </c>
      <c r="I135" s="1">
        <v>1</v>
      </c>
      <c r="J135" s="1">
        <f>K135+L135</f>
        <v>1</v>
      </c>
      <c r="K135" s="1">
        <v>0</v>
      </c>
      <c r="L135" s="1">
        <v>1</v>
      </c>
      <c r="M135" s="1">
        <v>2</v>
      </c>
      <c r="N135" s="1">
        <f>M135+L135+K135</f>
        <v>3</v>
      </c>
      <c r="O135" s="3" t="s">
        <v>29</v>
      </c>
    </row>
    <row r="136" spans="1:15" x14ac:dyDescent="0.2">
      <c r="A136" s="1">
        <v>135</v>
      </c>
      <c r="B136" s="1">
        <v>53</v>
      </c>
      <c r="C136" s="8">
        <v>18.796189499765049</v>
      </c>
      <c r="D136" s="1">
        <v>0</v>
      </c>
      <c r="E136" s="1">
        <v>369.6</v>
      </c>
      <c r="F136" s="1" t="s">
        <v>20</v>
      </c>
      <c r="G136" s="1">
        <v>0</v>
      </c>
      <c r="H136" s="1">
        <v>15</v>
      </c>
      <c r="I136" s="1">
        <v>1</v>
      </c>
      <c r="J136" s="1">
        <f>K136+L136</f>
        <v>1</v>
      </c>
      <c r="K136" s="1">
        <v>0</v>
      </c>
      <c r="L136" s="1">
        <v>1</v>
      </c>
      <c r="M136" s="1">
        <v>1</v>
      </c>
      <c r="N136" s="1">
        <f>M136+L136+K136</f>
        <v>2</v>
      </c>
      <c r="O136" s="3" t="s">
        <v>38</v>
      </c>
    </row>
    <row r="137" spans="1:15" x14ac:dyDescent="0.2">
      <c r="A137" s="1">
        <v>136</v>
      </c>
      <c r="B137" s="1">
        <v>27</v>
      </c>
      <c r="C137" s="8">
        <v>18.289894833104707</v>
      </c>
      <c r="D137" s="1">
        <v>0</v>
      </c>
      <c r="E137" s="1">
        <v>216</v>
      </c>
      <c r="F137" s="1" t="s">
        <v>20</v>
      </c>
      <c r="G137" s="1">
        <v>0</v>
      </c>
      <c r="H137" s="1">
        <v>12</v>
      </c>
      <c r="I137" s="1">
        <v>0</v>
      </c>
      <c r="J137" s="1">
        <f>K137+L137</f>
        <v>0</v>
      </c>
      <c r="K137" s="1">
        <v>0</v>
      </c>
      <c r="L137" s="1">
        <v>0</v>
      </c>
      <c r="M137" s="1">
        <v>0</v>
      </c>
      <c r="N137" s="1">
        <f>M137+L137+K137</f>
        <v>0</v>
      </c>
      <c r="O137" s="3" t="s">
        <v>37</v>
      </c>
    </row>
    <row r="138" spans="1:15" x14ac:dyDescent="0.2">
      <c r="A138" s="1">
        <v>137</v>
      </c>
      <c r="B138" s="1">
        <v>46</v>
      </c>
      <c r="C138" s="8">
        <v>24.508945765204302</v>
      </c>
      <c r="D138" s="1">
        <v>1</v>
      </c>
      <c r="E138" s="1">
        <v>374.1</v>
      </c>
      <c r="F138" s="1" t="s">
        <v>20</v>
      </c>
      <c r="G138" s="1">
        <v>0</v>
      </c>
      <c r="H138" s="1">
        <v>13</v>
      </c>
      <c r="I138" s="1">
        <v>0</v>
      </c>
      <c r="J138" s="1">
        <f>K138+L138</f>
        <v>2</v>
      </c>
      <c r="K138" s="1">
        <v>0</v>
      </c>
      <c r="L138" s="1">
        <v>2</v>
      </c>
      <c r="M138" s="1">
        <v>4</v>
      </c>
      <c r="N138" s="1">
        <f>M138+L138+K138</f>
        <v>6</v>
      </c>
      <c r="O138" s="3" t="s">
        <v>40</v>
      </c>
    </row>
    <row r="139" spans="1:15" x14ac:dyDescent="0.2">
      <c r="A139" s="1">
        <v>138</v>
      </c>
      <c r="B139" s="1">
        <v>41</v>
      </c>
      <c r="C139" s="8">
        <v>23.733238400379729</v>
      </c>
      <c r="D139" s="1">
        <v>0</v>
      </c>
      <c r="E139" s="1">
        <v>1151.7</v>
      </c>
      <c r="F139" s="1">
        <v>597.1</v>
      </c>
      <c r="G139" s="1">
        <v>0</v>
      </c>
      <c r="H139" s="1">
        <v>13</v>
      </c>
      <c r="I139" s="1">
        <v>0</v>
      </c>
      <c r="J139" s="1">
        <f>K139+L139</f>
        <v>2</v>
      </c>
      <c r="K139" s="1">
        <v>2</v>
      </c>
      <c r="L139" s="1">
        <v>0</v>
      </c>
      <c r="M139" s="1">
        <v>1</v>
      </c>
      <c r="N139" s="1">
        <f>M139+L139+K139</f>
        <v>3</v>
      </c>
      <c r="O139" s="3" t="s">
        <v>29</v>
      </c>
    </row>
    <row r="140" spans="1:15" x14ac:dyDescent="0.2">
      <c r="A140" s="1">
        <v>139</v>
      </c>
      <c r="B140" s="1">
        <v>56</v>
      </c>
      <c r="C140" s="8">
        <v>22.892819979188342</v>
      </c>
      <c r="D140" s="1">
        <v>0</v>
      </c>
      <c r="E140" s="1">
        <v>1189.0999999999999</v>
      </c>
      <c r="F140" s="1" t="s">
        <v>20</v>
      </c>
      <c r="G140" s="1">
        <v>0</v>
      </c>
      <c r="H140" s="1">
        <v>13</v>
      </c>
      <c r="I140" s="1">
        <v>1</v>
      </c>
      <c r="J140" s="1">
        <f>K140+L140</f>
        <v>1</v>
      </c>
      <c r="K140" s="1">
        <v>0</v>
      </c>
      <c r="L140" s="1">
        <v>1</v>
      </c>
      <c r="M140" s="1">
        <v>2</v>
      </c>
      <c r="N140" s="1">
        <f>M140+L140+K140</f>
        <v>3</v>
      </c>
      <c r="O140" s="3" t="s">
        <v>40</v>
      </c>
    </row>
    <row r="141" spans="1:15" x14ac:dyDescent="0.2">
      <c r="A141" s="1">
        <v>140</v>
      </c>
      <c r="B141" s="1">
        <v>41</v>
      </c>
      <c r="C141" s="8">
        <v>22.031725684986377</v>
      </c>
      <c r="D141" s="1">
        <v>0</v>
      </c>
      <c r="E141" s="1">
        <v>451.1</v>
      </c>
      <c r="F141" s="1">
        <v>399.9</v>
      </c>
      <c r="G141" s="1">
        <v>0</v>
      </c>
      <c r="H141" s="1">
        <v>13</v>
      </c>
      <c r="I141" s="1">
        <v>0</v>
      </c>
      <c r="J141" s="1">
        <f>K141+L141</f>
        <v>2</v>
      </c>
      <c r="K141" s="1">
        <v>0</v>
      </c>
      <c r="L141" s="1">
        <v>2</v>
      </c>
      <c r="M141" s="1">
        <v>0</v>
      </c>
      <c r="N141" s="1">
        <f>M141+L141+K141</f>
        <v>2</v>
      </c>
      <c r="O141" s="3" t="s">
        <v>68</v>
      </c>
    </row>
    <row r="142" spans="1:15" x14ac:dyDescent="0.2">
      <c r="A142" s="1">
        <v>141</v>
      </c>
      <c r="B142" s="1">
        <v>27</v>
      </c>
      <c r="C142" s="8">
        <v>18.069727891156464</v>
      </c>
      <c r="D142" s="1">
        <v>0</v>
      </c>
      <c r="E142" s="1">
        <v>11.1</v>
      </c>
      <c r="F142" s="1" t="s">
        <v>20</v>
      </c>
      <c r="G142" s="1">
        <v>0</v>
      </c>
      <c r="H142" s="1">
        <v>12</v>
      </c>
      <c r="I142" s="1">
        <v>0</v>
      </c>
      <c r="J142" s="1">
        <f>K142+L142</f>
        <v>0</v>
      </c>
      <c r="K142" s="1">
        <v>0</v>
      </c>
      <c r="L142" s="1">
        <v>0</v>
      </c>
      <c r="M142" s="1">
        <v>0</v>
      </c>
      <c r="N142" s="1">
        <f>M142+L142+K142</f>
        <v>0</v>
      </c>
      <c r="O142" s="3" t="s">
        <v>37</v>
      </c>
    </row>
    <row r="143" spans="1:15" x14ac:dyDescent="0.2">
      <c r="A143" s="1">
        <v>142</v>
      </c>
      <c r="B143" s="1">
        <v>46</v>
      </c>
      <c r="C143" s="8">
        <v>27.126318937160921</v>
      </c>
      <c r="D143" s="1">
        <v>0</v>
      </c>
      <c r="E143" s="1">
        <v>37.5</v>
      </c>
      <c r="F143" s="1">
        <v>38.700000000000003</v>
      </c>
      <c r="G143" s="1">
        <v>0</v>
      </c>
      <c r="H143" s="1">
        <v>13</v>
      </c>
      <c r="I143" s="1">
        <v>0</v>
      </c>
      <c r="J143" s="1">
        <f>K143+L143</f>
        <v>2</v>
      </c>
      <c r="K143" s="1">
        <v>0</v>
      </c>
      <c r="L143" s="1">
        <v>2</v>
      </c>
      <c r="M143" s="1">
        <v>3</v>
      </c>
      <c r="N143" s="1">
        <f>M143+L143+K143</f>
        <v>5</v>
      </c>
      <c r="O143" s="3" t="s">
        <v>34</v>
      </c>
    </row>
    <row r="144" spans="1:15" x14ac:dyDescent="0.2">
      <c r="A144" s="1">
        <v>143</v>
      </c>
      <c r="B144" s="1">
        <v>44</v>
      </c>
      <c r="C144" s="8">
        <v>20.629706777759971</v>
      </c>
      <c r="D144" s="1">
        <v>0</v>
      </c>
      <c r="E144" s="1">
        <v>1955.9</v>
      </c>
      <c r="F144" s="1" t="s">
        <v>20</v>
      </c>
      <c r="G144" s="1">
        <v>0</v>
      </c>
      <c r="H144" s="1">
        <v>12</v>
      </c>
      <c r="I144" s="1">
        <v>0</v>
      </c>
      <c r="J144" s="1">
        <f>K144+L144</f>
        <v>1</v>
      </c>
      <c r="K144" s="1">
        <v>0</v>
      </c>
      <c r="L144" s="1">
        <v>1</v>
      </c>
      <c r="M144" s="1">
        <v>0</v>
      </c>
      <c r="N144" s="1">
        <f>M144+L144+K144</f>
        <v>1</v>
      </c>
      <c r="O144" s="3" t="s">
        <v>28</v>
      </c>
    </row>
    <row r="145" spans="1:15" ht="16.5" x14ac:dyDescent="0.2">
      <c r="A145" s="1">
        <v>144</v>
      </c>
      <c r="B145" s="1">
        <v>39</v>
      </c>
      <c r="C145" s="8">
        <v>26.346494034400994</v>
      </c>
      <c r="D145" s="1">
        <v>0</v>
      </c>
      <c r="E145" s="1">
        <v>121.2</v>
      </c>
      <c r="F145" s="1" t="s">
        <v>20</v>
      </c>
      <c r="G145" s="1">
        <v>0</v>
      </c>
      <c r="H145" s="1">
        <v>14</v>
      </c>
      <c r="I145" s="1">
        <v>0</v>
      </c>
      <c r="J145" s="1">
        <f>K145+L145</f>
        <v>0</v>
      </c>
      <c r="K145" s="1">
        <v>0</v>
      </c>
      <c r="L145" s="1">
        <v>0</v>
      </c>
      <c r="M145" s="1">
        <v>0</v>
      </c>
      <c r="N145" s="1">
        <f>M145+L145+K145</f>
        <v>0</v>
      </c>
      <c r="O145" s="10" t="s">
        <v>69</v>
      </c>
    </row>
    <row r="146" spans="1:15" x14ac:dyDescent="0.2">
      <c r="A146" s="1">
        <v>145</v>
      </c>
      <c r="B146" s="1">
        <v>52</v>
      </c>
      <c r="C146" s="8">
        <v>21.096190514828187</v>
      </c>
      <c r="D146" s="1">
        <v>0</v>
      </c>
      <c r="E146" s="1">
        <v>36.9</v>
      </c>
      <c r="F146" s="1" t="s">
        <v>20</v>
      </c>
      <c r="G146" s="1">
        <v>0</v>
      </c>
      <c r="H146" s="1">
        <v>15</v>
      </c>
      <c r="I146" s="1">
        <v>1</v>
      </c>
      <c r="J146" s="1">
        <f>K146+L146</f>
        <v>1</v>
      </c>
      <c r="K146" s="1">
        <v>0</v>
      </c>
      <c r="L146" s="1">
        <v>1</v>
      </c>
      <c r="M146" s="1">
        <v>3</v>
      </c>
      <c r="N146" s="1">
        <f>M146+L146+K146</f>
        <v>4</v>
      </c>
      <c r="O146" s="3" t="s">
        <v>31</v>
      </c>
    </row>
    <row r="147" spans="1:15" x14ac:dyDescent="0.2">
      <c r="A147" s="1">
        <v>146</v>
      </c>
      <c r="B147" s="1">
        <v>55</v>
      </c>
      <c r="C147" s="8">
        <v>26.291723822588015</v>
      </c>
      <c r="D147" s="1">
        <v>0</v>
      </c>
      <c r="E147" s="1">
        <v>59.8</v>
      </c>
      <c r="F147" s="1">
        <v>62.6</v>
      </c>
      <c r="G147" s="1">
        <v>0</v>
      </c>
      <c r="H147" s="1">
        <v>14</v>
      </c>
      <c r="I147" s="1">
        <v>1</v>
      </c>
      <c r="J147" s="1">
        <f>K147+L147</f>
        <v>1</v>
      </c>
      <c r="K147" s="1">
        <v>0</v>
      </c>
      <c r="L147" s="1">
        <v>1</v>
      </c>
      <c r="M147" s="1">
        <v>1</v>
      </c>
      <c r="N147" s="1">
        <f>M147+L147+K147</f>
        <v>2</v>
      </c>
      <c r="O147" s="3" t="s">
        <v>27</v>
      </c>
    </row>
    <row r="148" spans="1:15" x14ac:dyDescent="0.2">
      <c r="A148" s="1">
        <v>147</v>
      </c>
      <c r="B148" s="1">
        <v>48</v>
      </c>
      <c r="C148" s="8">
        <v>23.140495867768596</v>
      </c>
      <c r="D148" s="1">
        <v>0</v>
      </c>
      <c r="E148" s="1">
        <v>119.2</v>
      </c>
      <c r="F148" s="1" t="s">
        <v>20</v>
      </c>
      <c r="G148" s="1">
        <v>0</v>
      </c>
      <c r="H148" s="1">
        <v>15</v>
      </c>
      <c r="I148" s="1">
        <v>0</v>
      </c>
      <c r="J148" s="1">
        <f>K148+L148</f>
        <v>1</v>
      </c>
      <c r="K148" s="1">
        <v>1</v>
      </c>
      <c r="L148" s="1">
        <v>0</v>
      </c>
      <c r="M148" s="1">
        <v>0</v>
      </c>
      <c r="N148" s="1">
        <f>M148+L148+K148</f>
        <v>1</v>
      </c>
      <c r="O148" s="3" t="s">
        <v>40</v>
      </c>
    </row>
    <row r="149" spans="1:15" x14ac:dyDescent="0.2">
      <c r="A149" s="1">
        <v>148</v>
      </c>
      <c r="B149" s="1">
        <v>53</v>
      </c>
      <c r="C149" s="8">
        <v>28.040378144528116</v>
      </c>
      <c r="D149" s="1">
        <v>0</v>
      </c>
      <c r="E149" s="1">
        <v>4505.2</v>
      </c>
      <c r="F149" s="1" t="s">
        <v>20</v>
      </c>
      <c r="G149" s="1">
        <v>1</v>
      </c>
      <c r="H149" s="1">
        <v>13</v>
      </c>
      <c r="I149" s="1">
        <v>1</v>
      </c>
      <c r="J149" s="1">
        <f>K149+L149</f>
        <v>1</v>
      </c>
      <c r="K149" s="1">
        <v>0</v>
      </c>
      <c r="L149" s="1">
        <v>1</v>
      </c>
      <c r="M149" s="1">
        <v>0</v>
      </c>
      <c r="N149" s="1">
        <f>M149+L149+K149</f>
        <v>1</v>
      </c>
      <c r="O149" s="3" t="s">
        <v>70</v>
      </c>
    </row>
    <row r="150" spans="1:15" x14ac:dyDescent="0.2">
      <c r="A150" s="1">
        <v>149</v>
      </c>
      <c r="B150" s="1">
        <v>68</v>
      </c>
      <c r="C150" s="8">
        <v>23.046874999999996</v>
      </c>
      <c r="D150" s="1">
        <v>0</v>
      </c>
      <c r="E150" s="1">
        <v>913.4</v>
      </c>
      <c r="F150" s="1">
        <v>179.1</v>
      </c>
      <c r="G150" s="1">
        <v>0</v>
      </c>
      <c r="H150" s="1">
        <v>12</v>
      </c>
      <c r="I150" s="1">
        <v>1</v>
      </c>
      <c r="J150" s="1">
        <f>K150+L150</f>
        <v>1</v>
      </c>
      <c r="K150" s="1">
        <v>1</v>
      </c>
      <c r="L150" s="1">
        <v>0</v>
      </c>
      <c r="M150" s="1">
        <v>4</v>
      </c>
      <c r="N150" s="1">
        <f>M150+L150+K150</f>
        <v>5</v>
      </c>
      <c r="O150" s="3" t="s">
        <v>39</v>
      </c>
    </row>
    <row r="151" spans="1:15" x14ac:dyDescent="0.2">
      <c r="A151" s="1">
        <v>150</v>
      </c>
      <c r="B151" s="1">
        <v>32</v>
      </c>
      <c r="C151" s="8">
        <v>21.208448753462605</v>
      </c>
      <c r="D151" s="1">
        <v>0</v>
      </c>
      <c r="E151" s="1">
        <v>221.9</v>
      </c>
      <c r="F151" s="1">
        <v>130.19999999999999</v>
      </c>
      <c r="G151" s="1">
        <v>0</v>
      </c>
      <c r="H151" s="1">
        <v>13</v>
      </c>
      <c r="I151" s="1">
        <v>0</v>
      </c>
      <c r="J151" s="1">
        <f>K151+L151</f>
        <v>2</v>
      </c>
      <c r="K151" s="1">
        <v>2</v>
      </c>
      <c r="L151" s="1">
        <v>0</v>
      </c>
      <c r="M151" s="1">
        <v>0</v>
      </c>
      <c r="N151" s="1">
        <f>M151+L151+K151</f>
        <v>2</v>
      </c>
      <c r="O151" s="3" t="s">
        <v>29</v>
      </c>
    </row>
    <row r="152" spans="1:15" x14ac:dyDescent="0.2">
      <c r="A152" s="1">
        <v>151</v>
      </c>
      <c r="B152" s="1">
        <v>40</v>
      </c>
      <c r="C152" s="8">
        <v>23.046874999999996</v>
      </c>
      <c r="D152" s="1">
        <v>1</v>
      </c>
      <c r="E152" s="1">
        <v>1039</v>
      </c>
      <c r="F152" s="1" t="s">
        <v>20</v>
      </c>
      <c r="G152" s="1">
        <v>0</v>
      </c>
      <c r="H152" s="1">
        <v>13</v>
      </c>
      <c r="I152" s="1">
        <v>0</v>
      </c>
      <c r="J152" s="1">
        <f>K152+L152</f>
        <v>1</v>
      </c>
      <c r="K152" s="1">
        <v>1</v>
      </c>
      <c r="L152" s="1">
        <v>0</v>
      </c>
      <c r="M152" s="1">
        <v>0</v>
      </c>
      <c r="N152" s="1">
        <f>M152+L152+K152</f>
        <v>1</v>
      </c>
      <c r="O152" s="11" t="s">
        <v>86</v>
      </c>
    </row>
    <row r="153" spans="1:15" x14ac:dyDescent="0.2">
      <c r="A153" s="1">
        <v>152</v>
      </c>
      <c r="B153" s="1">
        <v>61</v>
      </c>
      <c r="C153" s="8">
        <v>25.20398137468495</v>
      </c>
      <c r="D153" s="1">
        <v>0</v>
      </c>
      <c r="E153" s="1">
        <v>555</v>
      </c>
      <c r="F153" s="1" t="s">
        <v>20</v>
      </c>
      <c r="G153" s="1">
        <v>0</v>
      </c>
      <c r="H153" s="1">
        <v>13</v>
      </c>
      <c r="I153" s="1">
        <v>1</v>
      </c>
      <c r="J153" s="1">
        <f>K153+L153</f>
        <v>1</v>
      </c>
      <c r="K153" s="1">
        <v>0</v>
      </c>
      <c r="L153" s="1">
        <v>1</v>
      </c>
      <c r="M153" s="1">
        <v>1</v>
      </c>
      <c r="N153" s="1">
        <f>M153+L153+K153</f>
        <v>2</v>
      </c>
      <c r="O153" s="3" t="s">
        <v>40</v>
      </c>
    </row>
    <row r="154" spans="1:15" x14ac:dyDescent="0.2">
      <c r="A154" s="1">
        <v>153</v>
      </c>
      <c r="B154" s="1">
        <v>57</v>
      </c>
      <c r="C154" s="8">
        <v>23.83300460223537</v>
      </c>
      <c r="D154" s="1">
        <v>0</v>
      </c>
      <c r="E154" s="1">
        <v>952.2</v>
      </c>
      <c r="F154" s="1" t="s">
        <v>20</v>
      </c>
      <c r="G154" s="1">
        <v>0</v>
      </c>
      <c r="H154" s="1">
        <v>14</v>
      </c>
      <c r="I154" s="1">
        <v>0</v>
      </c>
      <c r="J154" s="1">
        <f>K154+L154</f>
        <v>1</v>
      </c>
      <c r="K154" s="1">
        <v>1</v>
      </c>
      <c r="L154" s="1">
        <v>0</v>
      </c>
      <c r="M154" s="1">
        <v>1</v>
      </c>
      <c r="N154" s="1">
        <f>M154+L154+K154</f>
        <v>2</v>
      </c>
      <c r="O154" s="3" t="s">
        <v>87</v>
      </c>
    </row>
    <row r="155" spans="1:15" x14ac:dyDescent="0.2">
      <c r="A155" s="1">
        <v>154</v>
      </c>
      <c r="B155" s="1">
        <v>44</v>
      </c>
      <c r="C155" s="8">
        <v>23.02530590763563</v>
      </c>
      <c r="D155" s="1">
        <v>0</v>
      </c>
      <c r="E155" s="1">
        <v>86</v>
      </c>
      <c r="F155" s="1">
        <v>118.1</v>
      </c>
      <c r="G155" s="1">
        <v>0</v>
      </c>
      <c r="H155" s="1">
        <v>12</v>
      </c>
      <c r="I155" s="1">
        <v>0</v>
      </c>
      <c r="J155" s="1">
        <f>K155+L155</f>
        <v>2</v>
      </c>
      <c r="K155" s="1">
        <v>1</v>
      </c>
      <c r="L155" s="1">
        <v>1</v>
      </c>
      <c r="M155" s="1">
        <v>2</v>
      </c>
      <c r="N155" s="1">
        <f>M155+L155+K155</f>
        <v>4</v>
      </c>
      <c r="O155" s="3" t="s">
        <v>29</v>
      </c>
    </row>
    <row r="156" spans="1:15" x14ac:dyDescent="0.2">
      <c r="A156" s="1">
        <v>155</v>
      </c>
      <c r="B156" s="1">
        <v>51</v>
      </c>
      <c r="C156" s="8">
        <v>27.343749999999996</v>
      </c>
      <c r="D156" s="1">
        <v>1</v>
      </c>
      <c r="E156" s="1">
        <v>71.099999999999994</v>
      </c>
      <c r="F156" s="1" t="s">
        <v>20</v>
      </c>
      <c r="G156" s="1">
        <v>0</v>
      </c>
      <c r="H156" s="1">
        <v>16</v>
      </c>
      <c r="I156" s="1">
        <v>0</v>
      </c>
      <c r="J156" s="1">
        <f>K156+L156</f>
        <v>1</v>
      </c>
      <c r="K156" s="1">
        <v>0</v>
      </c>
      <c r="L156" s="1">
        <v>1</v>
      </c>
      <c r="M156" s="1">
        <v>4</v>
      </c>
      <c r="N156" s="1">
        <f>M156+L156+K156</f>
        <v>5</v>
      </c>
      <c r="O156" s="3" t="s">
        <v>33</v>
      </c>
    </row>
    <row r="157" spans="1:15" x14ac:dyDescent="0.2">
      <c r="A157" s="1">
        <v>156</v>
      </c>
      <c r="B157" s="1">
        <v>52</v>
      </c>
      <c r="C157" s="8">
        <v>22.506925207756233</v>
      </c>
      <c r="D157" s="1">
        <v>0</v>
      </c>
      <c r="E157" s="1">
        <v>4</v>
      </c>
      <c r="F157" s="1" t="s">
        <v>20</v>
      </c>
      <c r="G157" s="1">
        <v>0</v>
      </c>
      <c r="H157" s="1">
        <v>14</v>
      </c>
      <c r="I157" s="1">
        <v>1</v>
      </c>
      <c r="J157" s="1">
        <f>K157+L157</f>
        <v>0</v>
      </c>
      <c r="K157" s="1">
        <v>0</v>
      </c>
      <c r="L157" s="1">
        <v>0</v>
      </c>
      <c r="M157" s="1">
        <v>0</v>
      </c>
      <c r="N157" s="1">
        <f>M157+L157+K157</f>
        <v>0</v>
      </c>
      <c r="O157" s="3" t="s">
        <v>36</v>
      </c>
    </row>
    <row r="158" spans="1:15" x14ac:dyDescent="0.2">
      <c r="A158" s="1">
        <v>157</v>
      </c>
      <c r="B158" s="1">
        <v>55</v>
      </c>
      <c r="C158" s="8">
        <v>27.887617065556707</v>
      </c>
      <c r="D158" s="1">
        <v>0</v>
      </c>
      <c r="E158" s="1">
        <v>255.2</v>
      </c>
      <c r="F158" s="1" t="s">
        <v>20</v>
      </c>
      <c r="G158" s="1">
        <v>0</v>
      </c>
      <c r="H158" s="1">
        <v>16</v>
      </c>
      <c r="I158" s="1">
        <v>1</v>
      </c>
      <c r="J158" s="1">
        <f>K158+L158</f>
        <v>1</v>
      </c>
      <c r="K158" s="1">
        <v>0</v>
      </c>
      <c r="L158" s="1">
        <v>1</v>
      </c>
      <c r="M158" s="1">
        <v>4</v>
      </c>
      <c r="N158" s="1">
        <f>M158+L158+K158</f>
        <v>5</v>
      </c>
      <c r="O158" s="3" t="s">
        <v>44</v>
      </c>
    </row>
    <row r="159" spans="1:15" x14ac:dyDescent="0.2">
      <c r="A159" s="1">
        <v>158</v>
      </c>
      <c r="B159" s="1">
        <v>45</v>
      </c>
      <c r="C159" s="8">
        <v>27.343749999999996</v>
      </c>
      <c r="D159" s="1">
        <v>0</v>
      </c>
      <c r="E159" s="1">
        <v>1659</v>
      </c>
      <c r="F159" s="1" t="s">
        <v>20</v>
      </c>
      <c r="G159" s="1">
        <v>0</v>
      </c>
      <c r="H159" s="1">
        <v>14</v>
      </c>
      <c r="I159" s="1">
        <v>0</v>
      </c>
      <c r="J159" s="1">
        <f>K159+L159</f>
        <v>0</v>
      </c>
      <c r="K159" s="1">
        <v>0</v>
      </c>
      <c r="L159" s="1">
        <v>0</v>
      </c>
      <c r="M159" s="1">
        <v>0</v>
      </c>
      <c r="N159" s="1">
        <f>M159+L159+K159</f>
        <v>0</v>
      </c>
      <c r="O159" s="3" t="s">
        <v>35</v>
      </c>
    </row>
    <row r="160" spans="1:15" x14ac:dyDescent="0.2">
      <c r="A160" s="1">
        <v>159</v>
      </c>
      <c r="B160" s="1">
        <v>59</v>
      </c>
      <c r="C160" s="8">
        <v>25.510204081632658</v>
      </c>
      <c r="D160" s="1">
        <v>0</v>
      </c>
      <c r="E160" s="1">
        <v>2143.5</v>
      </c>
      <c r="F160" s="1" t="s">
        <v>20</v>
      </c>
      <c r="G160" s="1">
        <v>0</v>
      </c>
      <c r="H160" s="1">
        <v>17</v>
      </c>
      <c r="I160" s="1">
        <v>1</v>
      </c>
      <c r="J160" s="1">
        <f>K160+L160</f>
        <v>2</v>
      </c>
      <c r="K160" s="1">
        <v>0</v>
      </c>
      <c r="L160" s="1">
        <v>2</v>
      </c>
      <c r="M160" s="1">
        <v>0</v>
      </c>
      <c r="N160" s="1">
        <f>M160+L160+K160</f>
        <v>2</v>
      </c>
      <c r="O160" s="3" t="s">
        <v>29</v>
      </c>
    </row>
    <row r="161" spans="1:15" x14ac:dyDescent="0.2">
      <c r="A161" s="1">
        <v>160</v>
      </c>
      <c r="B161" s="1">
        <v>59</v>
      </c>
      <c r="C161" s="8">
        <v>26.438070821983651</v>
      </c>
      <c r="D161" s="1">
        <v>0</v>
      </c>
      <c r="E161" s="1">
        <v>255.9</v>
      </c>
      <c r="F161" s="1">
        <v>65.099999999999994</v>
      </c>
      <c r="G161" s="1">
        <v>0</v>
      </c>
      <c r="H161" s="1">
        <v>14</v>
      </c>
      <c r="I161" s="1">
        <v>1</v>
      </c>
      <c r="J161" s="1">
        <f>K161+L161</f>
        <v>1</v>
      </c>
      <c r="K161" s="1">
        <v>0</v>
      </c>
      <c r="L161" s="1">
        <v>1</v>
      </c>
      <c r="M161" s="1">
        <v>2</v>
      </c>
      <c r="N161" s="1">
        <f>M161+L161+K161</f>
        <v>3</v>
      </c>
      <c r="O161" s="3" t="s">
        <v>34</v>
      </c>
    </row>
    <row r="162" spans="1:15" x14ac:dyDescent="0.2">
      <c r="A162" s="1">
        <v>161</v>
      </c>
      <c r="B162" s="1">
        <v>72</v>
      </c>
      <c r="C162" s="8">
        <v>27.767098124652911</v>
      </c>
      <c r="D162" s="1">
        <v>0</v>
      </c>
      <c r="E162" s="1">
        <v>3211.2</v>
      </c>
      <c r="F162" s="1">
        <v>5211.3999999999996</v>
      </c>
      <c r="G162" s="1">
        <v>0</v>
      </c>
      <c r="H162" s="1">
        <v>13</v>
      </c>
      <c r="I162" s="1">
        <v>1</v>
      </c>
      <c r="J162" s="1">
        <f>K162+L162</f>
        <v>2</v>
      </c>
      <c r="K162" s="1">
        <v>0</v>
      </c>
      <c r="L162" s="1">
        <v>2</v>
      </c>
      <c r="M162" s="1">
        <v>3</v>
      </c>
      <c r="N162" s="1">
        <f>M162+L162+K162</f>
        <v>5</v>
      </c>
      <c r="O162" s="3" t="s">
        <v>71</v>
      </c>
    </row>
    <row r="163" spans="1:15" x14ac:dyDescent="0.2">
      <c r="A163" s="1">
        <v>162</v>
      </c>
      <c r="B163" s="1">
        <v>70</v>
      </c>
      <c r="C163" s="8">
        <v>22.370343316289262</v>
      </c>
      <c r="D163" s="1">
        <v>0</v>
      </c>
      <c r="E163" s="1">
        <v>313.10000000000002</v>
      </c>
      <c r="F163" s="1" t="s">
        <v>20</v>
      </c>
      <c r="G163" s="1">
        <v>0</v>
      </c>
      <c r="H163" s="1">
        <v>15</v>
      </c>
      <c r="I163" s="1">
        <v>1</v>
      </c>
      <c r="J163" s="1">
        <f>K163+L163</f>
        <v>2</v>
      </c>
      <c r="K163" s="1">
        <v>0</v>
      </c>
      <c r="L163" s="1">
        <v>2</v>
      </c>
      <c r="M163" s="1">
        <v>1</v>
      </c>
      <c r="N163" s="1">
        <f>M163+L163+K163</f>
        <v>3</v>
      </c>
      <c r="O163" s="3" t="s">
        <v>45</v>
      </c>
    </row>
    <row r="164" spans="1:15" x14ac:dyDescent="0.2">
      <c r="A164" s="1">
        <v>163</v>
      </c>
      <c r="B164" s="1">
        <v>53</v>
      </c>
      <c r="C164" s="8">
        <v>23.437499999999996</v>
      </c>
      <c r="D164" s="1">
        <v>0</v>
      </c>
      <c r="E164" s="1">
        <v>172.4</v>
      </c>
      <c r="F164" s="1" t="s">
        <v>20</v>
      </c>
      <c r="G164" s="1">
        <v>1</v>
      </c>
      <c r="H164" s="1">
        <v>13</v>
      </c>
      <c r="I164" s="1">
        <v>1</v>
      </c>
      <c r="J164" s="1">
        <f>K164+L164</f>
        <v>3</v>
      </c>
      <c r="K164" s="1">
        <v>0</v>
      </c>
      <c r="L164" s="1">
        <v>3</v>
      </c>
      <c r="M164" s="1">
        <v>0</v>
      </c>
      <c r="N164" s="1">
        <f>M164+L164+K164</f>
        <v>3</v>
      </c>
      <c r="O164" s="3" t="s">
        <v>33</v>
      </c>
    </row>
    <row r="165" spans="1:15" x14ac:dyDescent="0.2">
      <c r="A165" s="1">
        <v>164</v>
      </c>
      <c r="B165" s="1">
        <v>47</v>
      </c>
      <c r="C165" s="8">
        <v>23.124670372023203</v>
      </c>
      <c r="D165" s="1">
        <v>0</v>
      </c>
      <c r="E165" s="1">
        <v>120.5</v>
      </c>
      <c r="F165" s="1" t="s">
        <v>20</v>
      </c>
      <c r="G165" s="1">
        <v>0</v>
      </c>
      <c r="H165" s="1">
        <v>13</v>
      </c>
      <c r="I165" s="1">
        <v>0</v>
      </c>
      <c r="J165" s="1">
        <f>K165+L165</f>
        <v>1</v>
      </c>
      <c r="K165" s="1">
        <v>0</v>
      </c>
      <c r="L165" s="1">
        <v>1</v>
      </c>
      <c r="M165" s="1">
        <v>3</v>
      </c>
      <c r="N165" s="1">
        <f>M165+L165+K165</f>
        <v>4</v>
      </c>
      <c r="O165" s="3" t="s">
        <v>63</v>
      </c>
    </row>
    <row r="166" spans="1:15" x14ac:dyDescent="0.2">
      <c r="A166" s="1">
        <v>165</v>
      </c>
      <c r="B166" s="1">
        <v>53</v>
      </c>
      <c r="C166" s="8">
        <v>24.973985431841829</v>
      </c>
      <c r="D166" s="1">
        <v>0</v>
      </c>
      <c r="E166" s="1">
        <v>469.3</v>
      </c>
      <c r="F166" s="1" t="s">
        <v>20</v>
      </c>
      <c r="G166" s="1">
        <v>0</v>
      </c>
      <c r="H166" s="1">
        <v>12</v>
      </c>
      <c r="I166" s="1">
        <v>1</v>
      </c>
      <c r="J166" s="1">
        <f>K166+L166</f>
        <v>2</v>
      </c>
      <c r="K166" s="1">
        <v>0</v>
      </c>
      <c r="L166" s="1">
        <v>2</v>
      </c>
      <c r="M166" s="1">
        <v>0</v>
      </c>
      <c r="N166" s="1">
        <f>M166+L166+K166</f>
        <v>2</v>
      </c>
      <c r="O166" s="3" t="s">
        <v>72</v>
      </c>
    </row>
    <row r="167" spans="1:15" x14ac:dyDescent="0.2">
      <c r="A167" s="1">
        <v>166</v>
      </c>
      <c r="B167" s="1">
        <v>49</v>
      </c>
      <c r="C167" s="8">
        <v>21.230572023714146</v>
      </c>
      <c r="D167" s="1">
        <v>0</v>
      </c>
      <c r="E167" s="1">
        <v>1702.7</v>
      </c>
      <c r="F167" s="1">
        <v>79.3</v>
      </c>
      <c r="G167" s="1">
        <v>0</v>
      </c>
      <c r="H167" s="1">
        <v>14</v>
      </c>
      <c r="I167" s="1">
        <v>0</v>
      </c>
      <c r="J167" s="1">
        <f>K167+L167</f>
        <v>1</v>
      </c>
      <c r="K167" s="1">
        <v>1</v>
      </c>
      <c r="L167" s="1">
        <v>0</v>
      </c>
      <c r="M167" s="1">
        <v>0</v>
      </c>
      <c r="N167" s="1">
        <f>M167+L167+K167</f>
        <v>1</v>
      </c>
      <c r="O167" s="3" t="s">
        <v>26</v>
      </c>
    </row>
    <row r="168" spans="1:15" x14ac:dyDescent="0.2">
      <c r="A168" s="1">
        <v>167</v>
      </c>
      <c r="B168" s="1">
        <v>57</v>
      </c>
      <c r="C168" s="8">
        <v>19.140624999999996</v>
      </c>
      <c r="D168" s="1">
        <v>0</v>
      </c>
      <c r="E168" s="1">
        <v>39.6</v>
      </c>
      <c r="F168" s="1" t="s">
        <v>20</v>
      </c>
      <c r="G168" s="1">
        <v>0</v>
      </c>
      <c r="H168" s="1">
        <v>14</v>
      </c>
      <c r="I168" s="1">
        <v>1</v>
      </c>
      <c r="J168" s="1">
        <f>K168+L168</f>
        <v>1</v>
      </c>
      <c r="K168" s="1">
        <v>0</v>
      </c>
      <c r="L168" s="1">
        <v>1</v>
      </c>
      <c r="M168" s="1">
        <v>1</v>
      </c>
      <c r="N168" s="1">
        <f>M168+L168+K168</f>
        <v>2</v>
      </c>
      <c r="O168" s="3" t="s">
        <v>41</v>
      </c>
    </row>
    <row r="169" spans="1:15" x14ac:dyDescent="0.2">
      <c r="A169" s="1">
        <v>168</v>
      </c>
      <c r="B169" s="1">
        <v>32</v>
      </c>
      <c r="C169" s="8">
        <v>22.582709172343712</v>
      </c>
      <c r="D169" s="1">
        <v>0</v>
      </c>
      <c r="E169" s="1">
        <v>56.8</v>
      </c>
      <c r="F169" s="1" t="s">
        <v>20</v>
      </c>
      <c r="G169" s="1">
        <v>0</v>
      </c>
      <c r="H169" s="1">
        <v>11</v>
      </c>
      <c r="I169" s="1">
        <v>0</v>
      </c>
      <c r="J169" s="1">
        <f>K169+L169</f>
        <v>0</v>
      </c>
      <c r="K169" s="1">
        <v>0</v>
      </c>
      <c r="L169" s="1">
        <v>0</v>
      </c>
      <c r="M169" s="1">
        <v>0</v>
      </c>
      <c r="N169" s="1">
        <f>M169+L169+K169</f>
        <v>0</v>
      </c>
      <c r="O169" s="3" t="s">
        <v>41</v>
      </c>
    </row>
    <row r="170" spans="1:15" x14ac:dyDescent="0.2">
      <c r="A170" s="1">
        <v>169</v>
      </c>
      <c r="B170" s="1">
        <v>59</v>
      </c>
      <c r="C170" s="8">
        <v>24.435186668803073</v>
      </c>
      <c r="D170" s="1">
        <v>0</v>
      </c>
      <c r="E170" s="1">
        <v>349</v>
      </c>
      <c r="F170" s="1">
        <v>137.9</v>
      </c>
      <c r="G170" s="1">
        <v>0</v>
      </c>
      <c r="H170" s="1">
        <v>12</v>
      </c>
      <c r="I170" s="1">
        <v>1</v>
      </c>
      <c r="J170" s="1">
        <v>2</v>
      </c>
      <c r="K170" s="1">
        <v>0</v>
      </c>
      <c r="L170" s="1">
        <v>2</v>
      </c>
      <c r="M170" s="1">
        <v>3</v>
      </c>
      <c r="N170" s="1">
        <v>5</v>
      </c>
      <c r="O170" s="3" t="s">
        <v>73</v>
      </c>
    </row>
    <row r="171" spans="1:15" x14ac:dyDescent="0.2">
      <c r="A171" s="1">
        <v>170</v>
      </c>
      <c r="B171" s="1">
        <v>49</v>
      </c>
      <c r="C171" s="8">
        <v>25.777777777777779</v>
      </c>
      <c r="D171" s="1">
        <v>0</v>
      </c>
      <c r="E171" s="1">
        <v>2687.7</v>
      </c>
      <c r="F171" s="1">
        <v>357.7</v>
      </c>
      <c r="G171" s="1">
        <v>0</v>
      </c>
      <c r="H171" s="1">
        <v>13</v>
      </c>
      <c r="I171" s="1">
        <v>0</v>
      </c>
      <c r="J171" s="1">
        <f>K171+L171</f>
        <v>1</v>
      </c>
      <c r="K171" s="1">
        <v>1</v>
      </c>
      <c r="L171" s="1">
        <v>0</v>
      </c>
      <c r="M171" s="1">
        <v>1</v>
      </c>
      <c r="N171" s="1">
        <f>M171+L171+K171</f>
        <v>2</v>
      </c>
      <c r="O171" s="3" t="s">
        <v>40</v>
      </c>
    </row>
    <row r="172" spans="1:15" x14ac:dyDescent="0.2">
      <c r="A172" s="1">
        <v>171</v>
      </c>
      <c r="B172" s="1">
        <v>48</v>
      </c>
      <c r="C172" s="8">
        <v>24.414062499999996</v>
      </c>
      <c r="D172" s="1">
        <v>0</v>
      </c>
      <c r="E172" s="1">
        <v>121.6</v>
      </c>
      <c r="F172" s="1" t="s">
        <v>20</v>
      </c>
      <c r="G172" s="1">
        <v>0</v>
      </c>
      <c r="H172" s="1">
        <v>14</v>
      </c>
      <c r="I172" s="1">
        <v>0</v>
      </c>
      <c r="J172" s="1">
        <f>K172+L172</f>
        <v>1</v>
      </c>
      <c r="K172" s="1">
        <v>0</v>
      </c>
      <c r="L172" s="1">
        <v>1</v>
      </c>
      <c r="M172" s="1">
        <v>2</v>
      </c>
      <c r="N172" s="1">
        <f>M172+L172+K172</f>
        <v>3</v>
      </c>
      <c r="O172" s="3" t="s">
        <v>40</v>
      </c>
    </row>
    <row r="173" spans="1:15" x14ac:dyDescent="0.2">
      <c r="A173" s="1">
        <v>172</v>
      </c>
      <c r="B173" s="1">
        <v>60</v>
      </c>
      <c r="C173" s="8">
        <v>24.835763499439189</v>
      </c>
      <c r="D173" s="1">
        <v>0</v>
      </c>
      <c r="E173" s="1">
        <v>141.4</v>
      </c>
      <c r="F173" s="1">
        <v>591.1</v>
      </c>
      <c r="G173" s="1">
        <v>1</v>
      </c>
      <c r="H173" s="1">
        <v>12</v>
      </c>
      <c r="I173" s="1">
        <v>1</v>
      </c>
      <c r="J173" s="1">
        <f>K173+L173</f>
        <v>1</v>
      </c>
      <c r="K173" s="1">
        <v>0</v>
      </c>
      <c r="L173" s="1">
        <v>1</v>
      </c>
      <c r="M173" s="1">
        <v>1</v>
      </c>
      <c r="N173" s="1">
        <f>M173+L173+K173</f>
        <v>2</v>
      </c>
      <c r="O173" s="3" t="s">
        <v>43</v>
      </c>
    </row>
    <row r="174" spans="1:15" x14ac:dyDescent="0.2">
      <c r="A174" s="1">
        <v>173</v>
      </c>
      <c r="B174" s="1">
        <v>54</v>
      </c>
      <c r="C174" s="8">
        <v>23.233456176894723</v>
      </c>
      <c r="D174" s="1">
        <v>0</v>
      </c>
      <c r="E174" s="1">
        <v>3172.8</v>
      </c>
      <c r="F174" s="1" t="s">
        <v>20</v>
      </c>
      <c r="G174" s="1">
        <v>0</v>
      </c>
      <c r="H174" s="1">
        <v>13</v>
      </c>
      <c r="I174" s="1">
        <v>1</v>
      </c>
      <c r="J174" s="1">
        <f>K174+L174</f>
        <v>1</v>
      </c>
      <c r="K174" s="1">
        <v>1</v>
      </c>
      <c r="L174" s="1">
        <v>0</v>
      </c>
      <c r="M174" s="1">
        <v>1</v>
      </c>
      <c r="N174" s="1">
        <f>M174+L174+K174</f>
        <v>2</v>
      </c>
      <c r="O174" s="3" t="s">
        <v>32</v>
      </c>
    </row>
    <row r="175" spans="1:15" x14ac:dyDescent="0.2">
      <c r="A175" s="1">
        <v>174</v>
      </c>
      <c r="B175" s="1">
        <v>56</v>
      </c>
      <c r="C175" s="8">
        <v>20.07960127648894</v>
      </c>
      <c r="D175" s="1">
        <v>0</v>
      </c>
      <c r="E175" s="1">
        <v>6.8</v>
      </c>
      <c r="F175" s="1" t="s">
        <v>20</v>
      </c>
      <c r="G175" s="1">
        <v>0</v>
      </c>
      <c r="H175" s="1">
        <v>14</v>
      </c>
      <c r="I175" s="1">
        <v>1</v>
      </c>
      <c r="J175" s="1">
        <f>K175+L175</f>
        <v>1</v>
      </c>
      <c r="K175" s="1">
        <v>0</v>
      </c>
      <c r="L175" s="1">
        <v>1</v>
      </c>
      <c r="M175" s="1">
        <v>2</v>
      </c>
      <c r="N175" s="1">
        <f>M175+L175+K175</f>
        <v>3</v>
      </c>
      <c r="O175" s="3" t="s">
        <v>80</v>
      </c>
    </row>
    <row r="176" spans="1:15" x14ac:dyDescent="0.2">
      <c r="A176" s="1">
        <v>175</v>
      </c>
      <c r="B176" s="1">
        <v>45</v>
      </c>
      <c r="C176" s="8">
        <v>23.733238400379729</v>
      </c>
      <c r="D176" s="1">
        <v>0</v>
      </c>
      <c r="E176" s="1">
        <v>318.60000000000002</v>
      </c>
      <c r="F176" s="1" t="s">
        <v>20</v>
      </c>
      <c r="G176" s="1">
        <v>1</v>
      </c>
      <c r="H176" s="1">
        <v>12</v>
      </c>
      <c r="I176" s="1">
        <v>0</v>
      </c>
      <c r="J176" s="1">
        <f>K176+L176</f>
        <v>1</v>
      </c>
      <c r="K176" s="1">
        <v>0</v>
      </c>
      <c r="L176" s="1">
        <v>1</v>
      </c>
      <c r="M176" s="1">
        <v>0</v>
      </c>
      <c r="N176" s="1">
        <f>M176+L176+K176</f>
        <v>1</v>
      </c>
      <c r="O176" s="3" t="s">
        <v>40</v>
      </c>
    </row>
    <row r="177" spans="1:15" x14ac:dyDescent="0.2">
      <c r="A177" s="1">
        <v>176</v>
      </c>
      <c r="B177" s="1">
        <v>51</v>
      </c>
      <c r="C177" s="8">
        <v>18.749999999999996</v>
      </c>
      <c r="D177" s="1">
        <v>0</v>
      </c>
      <c r="E177" s="1">
        <v>22.4</v>
      </c>
      <c r="F177" s="1" t="s">
        <v>20</v>
      </c>
      <c r="G177" s="1">
        <v>0</v>
      </c>
      <c r="H177" s="1">
        <v>13</v>
      </c>
      <c r="I177" s="1">
        <v>0</v>
      </c>
      <c r="J177" s="1">
        <f>K177+L177</f>
        <v>0</v>
      </c>
      <c r="K177" s="1">
        <v>0</v>
      </c>
      <c r="L177" s="1">
        <v>0</v>
      </c>
      <c r="M177" s="1">
        <v>3</v>
      </c>
      <c r="N177" s="1">
        <f>M177+L177+K177</f>
        <v>3</v>
      </c>
      <c r="O177" s="3" t="s">
        <v>41</v>
      </c>
    </row>
    <row r="178" spans="1:15" x14ac:dyDescent="0.2">
      <c r="A178" s="1">
        <v>177</v>
      </c>
      <c r="B178" s="1">
        <v>52</v>
      </c>
      <c r="C178" s="8">
        <v>18.444444444444443</v>
      </c>
      <c r="D178" s="1">
        <v>0</v>
      </c>
      <c r="E178" s="1">
        <v>971.2</v>
      </c>
      <c r="F178" s="1" t="s">
        <v>20</v>
      </c>
      <c r="G178" s="1">
        <v>0</v>
      </c>
      <c r="H178" s="1">
        <v>14</v>
      </c>
      <c r="I178" s="1">
        <v>1</v>
      </c>
      <c r="J178" s="1">
        <f>K178+L178</f>
        <v>1</v>
      </c>
      <c r="K178" s="1">
        <v>1</v>
      </c>
      <c r="L178" s="1">
        <v>0</v>
      </c>
      <c r="M178" s="1">
        <v>2</v>
      </c>
      <c r="N178" s="1">
        <f>M178+L178+K178</f>
        <v>3</v>
      </c>
      <c r="O178" s="3" t="s">
        <v>44</v>
      </c>
    </row>
    <row r="179" spans="1:15" x14ac:dyDescent="0.2">
      <c r="A179" s="1">
        <v>178</v>
      </c>
      <c r="B179" s="1">
        <v>60</v>
      </c>
      <c r="C179" s="8">
        <v>22.189349112426033</v>
      </c>
      <c r="D179" s="1">
        <v>0</v>
      </c>
      <c r="E179" s="1">
        <v>83</v>
      </c>
      <c r="F179" s="1" t="s">
        <v>20</v>
      </c>
      <c r="G179" s="1">
        <v>0</v>
      </c>
      <c r="H179" s="1">
        <v>13</v>
      </c>
      <c r="I179" s="1">
        <v>1</v>
      </c>
      <c r="J179" s="1">
        <f>K179+L179</f>
        <v>1</v>
      </c>
      <c r="K179" s="1">
        <v>0</v>
      </c>
      <c r="L179" s="1">
        <v>1</v>
      </c>
      <c r="M179" s="1">
        <v>1</v>
      </c>
      <c r="N179" s="1">
        <f>M179+L179+K179</f>
        <v>2</v>
      </c>
      <c r="O179" s="3" t="s">
        <v>27</v>
      </c>
    </row>
    <row r="180" spans="1:15" x14ac:dyDescent="0.2">
      <c r="A180" s="1">
        <v>179</v>
      </c>
      <c r="B180" s="1">
        <v>51</v>
      </c>
      <c r="C180" s="8">
        <v>21.60410477990818</v>
      </c>
      <c r="D180" s="1">
        <v>0</v>
      </c>
      <c r="E180" s="1">
        <v>47.4</v>
      </c>
      <c r="F180" s="1">
        <v>34.1</v>
      </c>
      <c r="G180" s="1">
        <v>0</v>
      </c>
      <c r="H180" s="1">
        <v>14</v>
      </c>
      <c r="I180" s="1">
        <v>1</v>
      </c>
      <c r="J180" s="1">
        <f>K180+L180</f>
        <v>1</v>
      </c>
      <c r="K180" s="1">
        <v>0</v>
      </c>
      <c r="L180" s="1">
        <v>1</v>
      </c>
      <c r="M180" s="1">
        <v>0</v>
      </c>
      <c r="N180" s="1">
        <f>M180+L180+K180</f>
        <v>1</v>
      </c>
      <c r="O180" s="3" t="s">
        <v>44</v>
      </c>
    </row>
    <row r="181" spans="1:15" x14ac:dyDescent="0.2">
      <c r="A181" s="1">
        <v>180</v>
      </c>
      <c r="B181" s="1">
        <v>40</v>
      </c>
      <c r="C181" s="8">
        <v>22.03856749311295</v>
      </c>
      <c r="D181" s="1">
        <v>0</v>
      </c>
      <c r="E181" s="1">
        <v>1069.5999999999999</v>
      </c>
      <c r="F181" s="1" t="s">
        <v>20</v>
      </c>
      <c r="G181" s="1">
        <v>0</v>
      </c>
      <c r="H181" s="1">
        <v>12</v>
      </c>
      <c r="I181" s="1">
        <v>0</v>
      </c>
      <c r="J181" s="1">
        <f>K181+L181</f>
        <v>1</v>
      </c>
      <c r="K181" s="1">
        <v>1</v>
      </c>
      <c r="L181" s="1">
        <v>0</v>
      </c>
      <c r="M181" s="1">
        <v>1</v>
      </c>
      <c r="N181" s="1">
        <f>M181+L181+K181</f>
        <v>2</v>
      </c>
      <c r="O181" s="3" t="s">
        <v>40</v>
      </c>
    </row>
    <row r="182" spans="1:15" x14ac:dyDescent="0.2">
      <c r="A182" s="1">
        <v>181</v>
      </c>
      <c r="B182" s="1">
        <v>37</v>
      </c>
      <c r="C182" s="8">
        <v>24.243918474687703</v>
      </c>
      <c r="D182" s="1">
        <v>0</v>
      </c>
      <c r="E182" s="1">
        <v>20</v>
      </c>
      <c r="F182" s="1">
        <v>61.1</v>
      </c>
      <c r="G182" s="1">
        <v>0</v>
      </c>
      <c r="H182" s="1">
        <v>13</v>
      </c>
      <c r="I182" s="1">
        <v>0</v>
      </c>
      <c r="J182" s="1">
        <f>K182+L182</f>
        <v>2</v>
      </c>
      <c r="K182" s="1">
        <v>0</v>
      </c>
      <c r="L182" s="1">
        <v>2</v>
      </c>
      <c r="M182" s="1">
        <v>2</v>
      </c>
      <c r="N182" s="1">
        <f>M182+L182+K182</f>
        <v>4</v>
      </c>
      <c r="O182" s="3" t="s">
        <v>63</v>
      </c>
    </row>
    <row r="183" spans="1:15" x14ac:dyDescent="0.2">
      <c r="A183" s="1">
        <v>182</v>
      </c>
      <c r="B183" s="1">
        <v>55</v>
      </c>
      <c r="C183" s="8">
        <v>23.372576177285318</v>
      </c>
      <c r="D183" s="1">
        <v>0</v>
      </c>
      <c r="E183" s="1">
        <v>38.799999999999997</v>
      </c>
      <c r="F183" s="1">
        <v>88.7</v>
      </c>
      <c r="G183" s="1">
        <v>0</v>
      </c>
      <c r="H183" s="1">
        <v>17</v>
      </c>
      <c r="I183" s="1">
        <v>1</v>
      </c>
      <c r="J183" s="1">
        <f>K183+L183</f>
        <v>1</v>
      </c>
      <c r="K183" s="1">
        <v>0</v>
      </c>
      <c r="L183" s="1">
        <v>1</v>
      </c>
      <c r="M183" s="1">
        <v>1</v>
      </c>
      <c r="N183" s="1">
        <f>M183+L183+K183</f>
        <v>2</v>
      </c>
      <c r="O183" s="3" t="s">
        <v>31</v>
      </c>
    </row>
    <row r="184" spans="1:15" x14ac:dyDescent="0.2">
      <c r="A184" s="1">
        <v>183</v>
      </c>
      <c r="B184" s="1">
        <v>39</v>
      </c>
      <c r="C184" s="8">
        <v>24.349609124695629</v>
      </c>
      <c r="D184" s="1">
        <v>0</v>
      </c>
      <c r="E184" s="1">
        <v>11.6</v>
      </c>
      <c r="F184" s="1" t="s">
        <v>20</v>
      </c>
      <c r="G184" s="1">
        <v>0</v>
      </c>
      <c r="H184" s="1">
        <v>14</v>
      </c>
      <c r="I184" s="1">
        <v>0</v>
      </c>
      <c r="J184" s="1">
        <f>K184+L184</f>
        <v>0</v>
      </c>
      <c r="K184" s="1">
        <v>0</v>
      </c>
      <c r="L184" s="1">
        <v>0</v>
      </c>
      <c r="M184" s="1">
        <v>0</v>
      </c>
      <c r="N184" s="1">
        <f>M184+L184+K184</f>
        <v>0</v>
      </c>
      <c r="O184" s="3" t="s">
        <v>68</v>
      </c>
    </row>
    <row r="185" spans="1:15" x14ac:dyDescent="0.2">
      <c r="A185" s="1">
        <v>184</v>
      </c>
      <c r="B185" s="1">
        <v>40</v>
      </c>
      <c r="C185" s="8">
        <v>23.309053069719038</v>
      </c>
      <c r="D185" s="1">
        <v>0</v>
      </c>
      <c r="E185" s="1">
        <v>9.9</v>
      </c>
      <c r="F185" s="1">
        <v>37.6</v>
      </c>
      <c r="G185" s="1">
        <v>0</v>
      </c>
      <c r="H185" s="1">
        <v>11</v>
      </c>
      <c r="I185" s="1">
        <v>0</v>
      </c>
      <c r="J185" s="1">
        <f>K185+L185</f>
        <v>0</v>
      </c>
      <c r="K185" s="1">
        <v>0</v>
      </c>
      <c r="L185" s="1">
        <v>0</v>
      </c>
      <c r="M185" s="1">
        <v>0</v>
      </c>
      <c r="N185" s="1">
        <f>M185+L185+K185</f>
        <v>0</v>
      </c>
      <c r="O185" s="3" t="s">
        <v>27</v>
      </c>
    </row>
    <row r="186" spans="1:15" x14ac:dyDescent="0.2">
      <c r="A186" s="1">
        <v>185</v>
      </c>
      <c r="B186" s="1">
        <v>54</v>
      </c>
      <c r="C186" s="8">
        <v>18.796189499765049</v>
      </c>
      <c r="D186" s="1">
        <v>0</v>
      </c>
      <c r="E186" s="1">
        <v>18.7</v>
      </c>
      <c r="F186" s="1">
        <v>51.6</v>
      </c>
      <c r="G186" s="1">
        <v>0</v>
      </c>
      <c r="H186" s="1">
        <v>13</v>
      </c>
      <c r="I186" s="1">
        <v>1</v>
      </c>
      <c r="J186" s="1">
        <f>K186+L186</f>
        <v>0</v>
      </c>
      <c r="K186" s="1">
        <v>0</v>
      </c>
      <c r="L186" s="1">
        <v>0</v>
      </c>
      <c r="M186" s="1">
        <v>0</v>
      </c>
      <c r="N186" s="1">
        <f>M186+L186+K186</f>
        <v>0</v>
      </c>
      <c r="O186" s="3" t="s">
        <v>30</v>
      </c>
    </row>
    <row r="187" spans="1:15" x14ac:dyDescent="0.2">
      <c r="A187" s="1">
        <v>186</v>
      </c>
      <c r="B187" s="1">
        <v>55</v>
      </c>
      <c r="C187" s="8">
        <v>22.832879346258608</v>
      </c>
      <c r="D187" s="1">
        <v>0</v>
      </c>
      <c r="E187" s="1">
        <v>991.6</v>
      </c>
      <c r="F187" s="1" t="s">
        <v>20</v>
      </c>
      <c r="G187" s="1">
        <v>1</v>
      </c>
      <c r="H187" s="1">
        <v>12</v>
      </c>
      <c r="I187" s="1">
        <v>1</v>
      </c>
      <c r="J187" s="1">
        <f>K187+L187</f>
        <v>1</v>
      </c>
      <c r="K187" s="1">
        <v>0</v>
      </c>
      <c r="L187" s="1">
        <v>1</v>
      </c>
      <c r="M187" s="1">
        <v>0</v>
      </c>
      <c r="N187" s="1">
        <f>M187+L187+K187</f>
        <v>1</v>
      </c>
      <c r="O187" s="3" t="s">
        <v>29</v>
      </c>
    </row>
    <row r="188" spans="1:15" x14ac:dyDescent="0.2">
      <c r="A188" s="1">
        <v>187</v>
      </c>
      <c r="B188" s="1">
        <v>40</v>
      </c>
      <c r="C188" s="8">
        <v>25.076193048107708</v>
      </c>
      <c r="D188" s="1">
        <v>0</v>
      </c>
      <c r="E188" s="1">
        <v>226.8</v>
      </c>
      <c r="F188" s="1">
        <v>211.7</v>
      </c>
      <c r="G188" s="1">
        <v>1</v>
      </c>
      <c r="H188" s="1">
        <v>13</v>
      </c>
      <c r="I188" s="1">
        <v>0</v>
      </c>
      <c r="J188" s="1">
        <f>K188+L188</f>
        <v>1</v>
      </c>
      <c r="K188" s="1">
        <v>1</v>
      </c>
      <c r="L188" s="1">
        <v>0</v>
      </c>
      <c r="M188" s="1">
        <v>1</v>
      </c>
      <c r="N188" s="1">
        <f>M188+L188+K188</f>
        <v>2</v>
      </c>
      <c r="O188" s="3" t="s">
        <v>29</v>
      </c>
    </row>
    <row r="189" spans="1:15" x14ac:dyDescent="0.2">
      <c r="A189" s="1">
        <v>188</v>
      </c>
      <c r="B189" s="1">
        <v>40</v>
      </c>
      <c r="C189" s="8">
        <v>18.480414570949545</v>
      </c>
      <c r="D189" s="1">
        <v>0</v>
      </c>
      <c r="E189" s="1">
        <v>1743.3</v>
      </c>
      <c r="F189" s="1" t="s">
        <v>20</v>
      </c>
      <c r="G189" s="1">
        <v>1</v>
      </c>
      <c r="H189" s="1">
        <v>13</v>
      </c>
      <c r="I189" s="1">
        <v>0</v>
      </c>
      <c r="J189" s="1">
        <f>K189+L189</f>
        <v>1</v>
      </c>
      <c r="K189" s="1">
        <v>1</v>
      </c>
      <c r="L189" s="1">
        <v>0</v>
      </c>
      <c r="M189" s="1">
        <v>0</v>
      </c>
      <c r="N189" s="1">
        <f>M189+L189+K189</f>
        <v>1</v>
      </c>
      <c r="O189" s="3" t="s">
        <v>28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40CE-AA03-4CDF-AC95-6CF9DDF2CA45}">
  <dimension ref="A1:N193"/>
  <sheetViews>
    <sheetView tabSelected="1" topLeftCell="A178" workbookViewId="0">
      <selection activeCell="F178" sqref="F178"/>
    </sheetView>
  </sheetViews>
  <sheetFormatPr defaultRowHeight="14.25" x14ac:dyDescent="0.2"/>
  <cols>
    <col min="1" max="2" width="11.125" style="13" customWidth="1"/>
    <col min="3" max="3" width="11.125" style="15" customWidth="1"/>
    <col min="4" max="6" width="11.125" style="13" customWidth="1"/>
    <col min="7" max="9" width="11.125" style="14" customWidth="1"/>
    <col min="10" max="14" width="9" style="14"/>
    <col min="15" max="16384" width="9" style="26"/>
  </cols>
  <sheetData>
    <row r="1" spans="1:14" s="2" customFormat="1" ht="57" x14ac:dyDescent="0.2">
      <c r="A1" s="24" t="s">
        <v>0</v>
      </c>
      <c r="B1" s="24" t="s">
        <v>8</v>
      </c>
      <c r="C1" s="25" t="s">
        <v>9</v>
      </c>
      <c r="D1" s="24" t="s">
        <v>10</v>
      </c>
      <c r="E1" s="24" t="s">
        <v>6</v>
      </c>
      <c r="F1" s="24" t="s">
        <v>42</v>
      </c>
      <c r="G1" s="24" t="s">
        <v>11</v>
      </c>
      <c r="H1" s="24" t="s">
        <v>12</v>
      </c>
      <c r="I1" s="24" t="s">
        <v>13</v>
      </c>
      <c r="J1" s="23" t="s">
        <v>14</v>
      </c>
      <c r="K1" s="23" t="s">
        <v>15</v>
      </c>
      <c r="L1" s="23" t="s">
        <v>16</v>
      </c>
      <c r="M1" s="23" t="s">
        <v>17</v>
      </c>
      <c r="N1" s="23" t="s">
        <v>18</v>
      </c>
    </row>
    <row r="2" spans="1:14" x14ac:dyDescent="0.2">
      <c r="A2" s="13">
        <v>1</v>
      </c>
      <c r="B2" s="13">
        <v>29</v>
      </c>
      <c r="C2" s="15">
        <v>19.195302796492154</v>
      </c>
      <c r="D2" s="13">
        <v>0</v>
      </c>
      <c r="E2" s="13">
        <v>32.1</v>
      </c>
      <c r="F2" s="13" t="s">
        <v>7</v>
      </c>
      <c r="G2" s="14">
        <v>0</v>
      </c>
      <c r="H2" s="14">
        <v>12</v>
      </c>
      <c r="I2" s="14">
        <v>0</v>
      </c>
      <c r="J2" s="14">
        <f>K2+L2</f>
        <v>0</v>
      </c>
      <c r="K2" s="14">
        <v>0</v>
      </c>
      <c r="L2" s="14">
        <v>0</v>
      </c>
      <c r="M2" s="14">
        <v>1</v>
      </c>
      <c r="N2" s="14">
        <f>M2+L2+K2</f>
        <v>1</v>
      </c>
    </row>
    <row r="3" spans="1:14" x14ac:dyDescent="0.2">
      <c r="A3" s="13">
        <v>2</v>
      </c>
      <c r="B3" s="13">
        <v>21</v>
      </c>
      <c r="C3" s="15">
        <v>18.591130340724717</v>
      </c>
      <c r="D3" s="13">
        <v>0</v>
      </c>
      <c r="E3" s="13">
        <v>38.9</v>
      </c>
      <c r="F3" s="13" t="s">
        <v>7</v>
      </c>
      <c r="G3" s="14">
        <v>0</v>
      </c>
      <c r="H3" s="14">
        <v>11</v>
      </c>
      <c r="I3" s="14">
        <v>0</v>
      </c>
      <c r="J3" s="14">
        <f>K3+L3</f>
        <v>0</v>
      </c>
      <c r="K3" s="14">
        <v>0</v>
      </c>
      <c r="L3" s="14">
        <v>0</v>
      </c>
      <c r="M3" s="14">
        <v>0</v>
      </c>
      <c r="N3" s="14">
        <f>M3+L3+K3</f>
        <v>0</v>
      </c>
    </row>
    <row r="4" spans="1:14" x14ac:dyDescent="0.2">
      <c r="A4" s="13">
        <v>3</v>
      </c>
      <c r="B4" s="13">
        <v>33</v>
      </c>
      <c r="C4" s="15">
        <v>18.732782369146008</v>
      </c>
      <c r="D4" s="13">
        <v>0</v>
      </c>
      <c r="E4" s="13">
        <v>41.4</v>
      </c>
      <c r="F4" s="13" t="s">
        <v>7</v>
      </c>
      <c r="G4" s="14">
        <v>0</v>
      </c>
      <c r="H4" s="14">
        <v>13</v>
      </c>
      <c r="I4" s="14">
        <v>0</v>
      </c>
      <c r="J4" s="14">
        <f>K4+L4</f>
        <v>0</v>
      </c>
      <c r="K4" s="14">
        <v>0</v>
      </c>
      <c r="L4" s="14">
        <v>0</v>
      </c>
      <c r="M4" s="14">
        <v>0</v>
      </c>
      <c r="N4" s="14">
        <f>M4+L4+K4</f>
        <v>0</v>
      </c>
    </row>
    <row r="5" spans="1:14" x14ac:dyDescent="0.2">
      <c r="A5" s="13">
        <v>4</v>
      </c>
      <c r="B5" s="13">
        <v>27</v>
      </c>
      <c r="C5" s="15">
        <v>29.053287981859416</v>
      </c>
      <c r="D5" s="13">
        <v>0</v>
      </c>
      <c r="E5" s="13">
        <v>56.5</v>
      </c>
      <c r="F5" s="13" t="s">
        <v>7</v>
      </c>
      <c r="G5" s="14">
        <v>0</v>
      </c>
      <c r="H5" s="14">
        <v>12</v>
      </c>
      <c r="I5" s="14">
        <v>0</v>
      </c>
      <c r="J5" s="14">
        <f>K5+L5</f>
        <v>0</v>
      </c>
      <c r="K5" s="14">
        <v>0</v>
      </c>
      <c r="L5" s="14">
        <v>0</v>
      </c>
      <c r="M5" s="14">
        <v>0</v>
      </c>
      <c r="N5" s="14">
        <f>M5+L5+K5</f>
        <v>0</v>
      </c>
    </row>
    <row r="6" spans="1:14" x14ac:dyDescent="0.2">
      <c r="A6" s="13">
        <v>6</v>
      </c>
      <c r="B6" s="13">
        <v>32</v>
      </c>
      <c r="C6" s="15">
        <v>20.28479857195018</v>
      </c>
      <c r="D6" s="13">
        <v>0</v>
      </c>
      <c r="E6" s="13">
        <v>52.6</v>
      </c>
      <c r="F6" s="13" t="s">
        <v>7</v>
      </c>
      <c r="G6" s="14">
        <v>0</v>
      </c>
      <c r="H6" s="14">
        <v>12</v>
      </c>
      <c r="I6" s="14">
        <v>0</v>
      </c>
      <c r="J6" s="14">
        <f>K6+L6</f>
        <v>0</v>
      </c>
      <c r="K6" s="14">
        <v>0</v>
      </c>
      <c r="L6" s="14">
        <v>0</v>
      </c>
      <c r="M6" s="14">
        <v>0</v>
      </c>
      <c r="N6" s="14">
        <f>M6+L6+K6</f>
        <v>0</v>
      </c>
    </row>
    <row r="7" spans="1:14" x14ac:dyDescent="0.2">
      <c r="A7" s="13">
        <v>7</v>
      </c>
      <c r="B7" s="13">
        <v>42</v>
      </c>
      <c r="C7" s="15">
        <v>22.656249999999996</v>
      </c>
      <c r="D7" s="13">
        <v>0</v>
      </c>
      <c r="E7" s="13">
        <v>42.4</v>
      </c>
      <c r="F7" s="13" t="s">
        <v>7</v>
      </c>
      <c r="G7" s="14">
        <v>1</v>
      </c>
      <c r="H7" s="14">
        <v>12</v>
      </c>
      <c r="I7" s="14">
        <v>0</v>
      </c>
      <c r="J7" s="14">
        <f>K7+L7</f>
        <v>2</v>
      </c>
      <c r="K7" s="14">
        <v>2</v>
      </c>
      <c r="L7" s="14">
        <v>0</v>
      </c>
      <c r="M7" s="14">
        <v>4</v>
      </c>
      <c r="N7" s="14">
        <f>M7+L7+K7</f>
        <v>6</v>
      </c>
    </row>
    <row r="8" spans="1:14" x14ac:dyDescent="0.2">
      <c r="A8" s="13">
        <v>8</v>
      </c>
      <c r="B8" s="13">
        <v>54</v>
      </c>
      <c r="C8" s="15">
        <v>22.265624999999996</v>
      </c>
      <c r="D8" s="13">
        <v>0</v>
      </c>
      <c r="E8" s="13">
        <v>11.2</v>
      </c>
      <c r="F8" s="13" t="s">
        <v>7</v>
      </c>
      <c r="G8" s="14">
        <v>0</v>
      </c>
      <c r="H8" s="14">
        <v>14</v>
      </c>
      <c r="I8" s="14">
        <v>0</v>
      </c>
      <c r="J8" s="14">
        <f>K8+L8</f>
        <v>1</v>
      </c>
      <c r="K8" s="14">
        <v>0</v>
      </c>
      <c r="L8" s="14">
        <v>1</v>
      </c>
      <c r="M8" s="14">
        <v>3</v>
      </c>
      <c r="N8" s="14">
        <f>M8+L8+K8</f>
        <v>4</v>
      </c>
    </row>
    <row r="9" spans="1:14" x14ac:dyDescent="0.2">
      <c r="A9" s="13">
        <v>9</v>
      </c>
      <c r="B9" s="13">
        <v>58</v>
      </c>
      <c r="C9" s="15">
        <v>23.51716961498439</v>
      </c>
      <c r="D9" s="13">
        <v>0</v>
      </c>
      <c r="E9" s="13">
        <v>6.3</v>
      </c>
      <c r="F9" s="13">
        <v>36.200000000000003</v>
      </c>
      <c r="G9" s="14">
        <v>0</v>
      </c>
      <c r="H9" s="14">
        <v>13</v>
      </c>
      <c r="I9" s="14">
        <v>0</v>
      </c>
      <c r="J9" s="14">
        <f>K9+L9</f>
        <v>1</v>
      </c>
      <c r="K9" s="14">
        <v>1</v>
      </c>
      <c r="L9" s="14">
        <v>0</v>
      </c>
      <c r="M9" s="14">
        <v>1</v>
      </c>
      <c r="N9" s="14">
        <f>M9+L9+K9</f>
        <v>2</v>
      </c>
    </row>
    <row r="10" spans="1:14" x14ac:dyDescent="0.2">
      <c r="A10" s="13">
        <v>11</v>
      </c>
      <c r="B10" s="13">
        <v>30</v>
      </c>
      <c r="C10" s="15">
        <v>24.034609838166958</v>
      </c>
      <c r="D10" s="13">
        <v>0</v>
      </c>
      <c r="E10" s="13">
        <v>25.7</v>
      </c>
      <c r="F10" s="13" t="s">
        <v>7</v>
      </c>
      <c r="G10" s="14">
        <v>0</v>
      </c>
      <c r="H10" s="14">
        <v>12</v>
      </c>
      <c r="I10" s="14">
        <v>1</v>
      </c>
      <c r="J10" s="14">
        <f>K10+L10</f>
        <v>0</v>
      </c>
      <c r="K10" s="14">
        <v>0</v>
      </c>
      <c r="L10" s="14">
        <v>0</v>
      </c>
      <c r="M10" s="14">
        <v>0</v>
      </c>
      <c r="N10" s="14">
        <f>M10+L10+K10</f>
        <v>0</v>
      </c>
    </row>
    <row r="11" spans="1:14" x14ac:dyDescent="0.2">
      <c r="A11" s="13">
        <v>12</v>
      </c>
      <c r="B11" s="13">
        <v>55</v>
      </c>
      <c r="C11" s="15">
        <v>27.679500520291359</v>
      </c>
      <c r="D11" s="13">
        <v>0</v>
      </c>
      <c r="E11" s="13">
        <v>7.7</v>
      </c>
      <c r="F11" s="13" t="s">
        <v>7</v>
      </c>
      <c r="G11" s="14">
        <v>0</v>
      </c>
      <c r="H11" s="14">
        <v>14</v>
      </c>
      <c r="I11" s="14">
        <v>0</v>
      </c>
      <c r="J11" s="14">
        <f>K11+L11</f>
        <v>4</v>
      </c>
      <c r="K11" s="14">
        <v>0</v>
      </c>
      <c r="L11" s="14">
        <v>4</v>
      </c>
      <c r="M11" s="14">
        <v>2</v>
      </c>
      <c r="N11" s="14">
        <f>M11+L11+K11</f>
        <v>6</v>
      </c>
    </row>
    <row r="12" spans="1:14" x14ac:dyDescent="0.2">
      <c r="A12" s="13">
        <v>13</v>
      </c>
      <c r="B12" s="13">
        <v>57</v>
      </c>
      <c r="C12" s="15">
        <v>21.786492374727668</v>
      </c>
      <c r="D12" s="13">
        <v>0</v>
      </c>
      <c r="E12" s="13">
        <v>9</v>
      </c>
      <c r="F12" s="13" t="s">
        <v>7</v>
      </c>
      <c r="G12" s="14">
        <v>0</v>
      </c>
      <c r="H12" s="14">
        <v>13</v>
      </c>
      <c r="I12" s="14">
        <v>0</v>
      </c>
      <c r="J12" s="14">
        <f>K12+L12</f>
        <v>2</v>
      </c>
      <c r="K12" s="14">
        <v>0</v>
      </c>
      <c r="L12" s="14">
        <v>2</v>
      </c>
      <c r="M12" s="14">
        <v>1</v>
      </c>
      <c r="N12" s="14">
        <f>M12+L12+K12</f>
        <v>3</v>
      </c>
    </row>
    <row r="13" spans="1:14" x14ac:dyDescent="0.2">
      <c r="A13" s="13">
        <v>14</v>
      </c>
      <c r="B13" s="13">
        <v>27</v>
      </c>
      <c r="C13" s="15">
        <v>26.672763298277697</v>
      </c>
      <c r="D13" s="13">
        <v>0</v>
      </c>
      <c r="E13" s="13">
        <v>101.5</v>
      </c>
      <c r="F13" s="13" t="s">
        <v>7</v>
      </c>
      <c r="G13" s="14">
        <v>0</v>
      </c>
      <c r="H13" s="14">
        <v>12</v>
      </c>
      <c r="I13" s="14">
        <v>1</v>
      </c>
      <c r="J13" s="14">
        <f>K13+L13</f>
        <v>0</v>
      </c>
      <c r="K13" s="14">
        <v>0</v>
      </c>
      <c r="L13" s="14">
        <v>0</v>
      </c>
      <c r="M13" s="14">
        <v>0</v>
      </c>
      <c r="N13" s="14">
        <f>M13+L13+K13</f>
        <v>0</v>
      </c>
    </row>
    <row r="14" spans="1:14" x14ac:dyDescent="0.2">
      <c r="A14" s="13">
        <v>16</v>
      </c>
      <c r="B14" s="13">
        <v>29</v>
      </c>
      <c r="C14" s="15">
        <v>23.030045351473927</v>
      </c>
      <c r="D14" s="13">
        <v>0</v>
      </c>
      <c r="E14" s="13">
        <v>109.5</v>
      </c>
      <c r="F14" s="13" t="s">
        <v>7</v>
      </c>
      <c r="G14" s="14">
        <v>0</v>
      </c>
      <c r="H14" s="14">
        <v>12</v>
      </c>
      <c r="I14" s="14">
        <v>1</v>
      </c>
      <c r="J14" s="14">
        <f>K14+L14</f>
        <v>0</v>
      </c>
      <c r="K14" s="14">
        <v>0</v>
      </c>
      <c r="L14" s="14">
        <v>0</v>
      </c>
      <c r="M14" s="14">
        <v>0</v>
      </c>
      <c r="N14" s="14">
        <f>M14+L14+K14</f>
        <v>0</v>
      </c>
    </row>
    <row r="15" spans="1:14" x14ac:dyDescent="0.2">
      <c r="A15" s="13">
        <v>17</v>
      </c>
      <c r="B15" s="13">
        <v>30</v>
      </c>
      <c r="C15" s="15">
        <v>22.031725684986377</v>
      </c>
      <c r="D15" s="13">
        <v>0</v>
      </c>
      <c r="E15" s="13">
        <v>51.2</v>
      </c>
      <c r="F15" s="13" t="s">
        <v>7</v>
      </c>
      <c r="G15" s="14">
        <v>0</v>
      </c>
      <c r="H15" s="14">
        <v>13</v>
      </c>
      <c r="I15" s="14">
        <v>0</v>
      </c>
      <c r="J15" s="14">
        <f>K15+L15</f>
        <v>0</v>
      </c>
      <c r="K15" s="14">
        <v>0</v>
      </c>
      <c r="L15" s="14">
        <v>0</v>
      </c>
      <c r="M15" s="14">
        <v>0</v>
      </c>
      <c r="N15" s="14">
        <f>M15+L15+K15</f>
        <v>0</v>
      </c>
    </row>
    <row r="16" spans="1:14" x14ac:dyDescent="0.2">
      <c r="A16" s="13">
        <v>18</v>
      </c>
      <c r="B16" s="13">
        <v>30</v>
      </c>
      <c r="C16" s="15">
        <v>27.180899908172638</v>
      </c>
      <c r="D16" s="13">
        <v>0</v>
      </c>
      <c r="E16" s="13">
        <v>43.9</v>
      </c>
      <c r="F16" s="13" t="s">
        <v>7</v>
      </c>
      <c r="G16" s="14">
        <v>0</v>
      </c>
      <c r="H16" s="14">
        <v>12</v>
      </c>
      <c r="I16" s="14">
        <v>0</v>
      </c>
      <c r="J16" s="14">
        <f>K16+L16</f>
        <v>0</v>
      </c>
      <c r="K16" s="14">
        <v>0</v>
      </c>
      <c r="L16" s="14">
        <v>0</v>
      </c>
      <c r="M16" s="14">
        <v>0</v>
      </c>
      <c r="N16" s="14">
        <f>M16+L16+K16</f>
        <v>0</v>
      </c>
    </row>
    <row r="17" spans="1:14" x14ac:dyDescent="0.2">
      <c r="A17" s="13">
        <v>19</v>
      </c>
      <c r="B17" s="13">
        <v>24</v>
      </c>
      <c r="C17" s="15">
        <v>20.195092211553114</v>
      </c>
      <c r="D17" s="13">
        <v>0</v>
      </c>
      <c r="E17" s="13">
        <v>72.400000000000006</v>
      </c>
      <c r="F17" s="13" t="s">
        <v>7</v>
      </c>
      <c r="G17" s="14">
        <v>0</v>
      </c>
      <c r="H17" s="14">
        <v>12</v>
      </c>
      <c r="I17" s="14">
        <v>0</v>
      </c>
      <c r="J17" s="14">
        <f>K17+L17</f>
        <v>0</v>
      </c>
      <c r="K17" s="14">
        <v>0</v>
      </c>
      <c r="L17" s="14">
        <v>0</v>
      </c>
      <c r="M17" s="14">
        <v>0</v>
      </c>
      <c r="N17" s="14">
        <f>M17+L17+K17</f>
        <v>0</v>
      </c>
    </row>
    <row r="18" spans="1:14" x14ac:dyDescent="0.2">
      <c r="A18" s="13">
        <v>21</v>
      </c>
      <c r="B18" s="13">
        <v>22</v>
      </c>
      <c r="C18" s="15">
        <v>19.227687870533565</v>
      </c>
      <c r="D18" s="13">
        <v>0</v>
      </c>
      <c r="E18" s="13">
        <v>42</v>
      </c>
      <c r="F18" s="13" t="s">
        <v>7</v>
      </c>
      <c r="G18" s="14">
        <v>0</v>
      </c>
      <c r="H18" s="14">
        <v>13</v>
      </c>
      <c r="I18" s="14">
        <v>0</v>
      </c>
      <c r="J18" s="14">
        <f>K18+L18</f>
        <v>0</v>
      </c>
      <c r="K18" s="14">
        <v>0</v>
      </c>
      <c r="L18" s="14">
        <v>0</v>
      </c>
      <c r="M18" s="14">
        <v>0</v>
      </c>
      <c r="N18" s="14">
        <f>M18+L18+K18</f>
        <v>0</v>
      </c>
    </row>
    <row r="19" spans="1:14" x14ac:dyDescent="0.2">
      <c r="A19" s="13">
        <v>22</v>
      </c>
      <c r="B19" s="13">
        <v>25</v>
      </c>
      <c r="C19" s="15">
        <v>19.605191995673341</v>
      </c>
      <c r="D19" s="13">
        <v>0</v>
      </c>
      <c r="E19" s="13">
        <v>2051.5</v>
      </c>
      <c r="F19" s="13">
        <v>39.9</v>
      </c>
      <c r="G19" s="14">
        <v>0</v>
      </c>
      <c r="H19" s="14">
        <v>13</v>
      </c>
      <c r="I19" s="14">
        <v>0</v>
      </c>
      <c r="J19" s="14">
        <f>K19+L19</f>
        <v>1</v>
      </c>
      <c r="K19" s="14">
        <v>1</v>
      </c>
      <c r="L19" s="14">
        <v>0</v>
      </c>
      <c r="M19" s="14">
        <v>0</v>
      </c>
      <c r="N19" s="14">
        <f>M19+L19+K19</f>
        <v>1</v>
      </c>
    </row>
    <row r="20" spans="1:14" x14ac:dyDescent="0.2">
      <c r="A20" s="13">
        <v>23</v>
      </c>
      <c r="B20" s="13">
        <v>27</v>
      </c>
      <c r="C20" s="15">
        <v>19.675166853130666</v>
      </c>
      <c r="D20" s="13">
        <v>0</v>
      </c>
      <c r="E20" s="13">
        <v>28.3</v>
      </c>
      <c r="F20" s="13" t="s">
        <v>7</v>
      </c>
      <c r="G20" s="14">
        <v>0</v>
      </c>
      <c r="H20" s="14">
        <v>14</v>
      </c>
      <c r="I20" s="14">
        <v>0</v>
      </c>
      <c r="J20" s="14">
        <f>K20+L20</f>
        <v>0</v>
      </c>
      <c r="K20" s="14">
        <v>0</v>
      </c>
      <c r="L20" s="14">
        <v>0</v>
      </c>
      <c r="M20" s="14">
        <v>0</v>
      </c>
      <c r="N20" s="14">
        <f>M20+L20+K20</f>
        <v>0</v>
      </c>
    </row>
    <row r="21" spans="1:14" x14ac:dyDescent="0.2">
      <c r="A21" s="13">
        <v>24</v>
      </c>
      <c r="B21" s="13">
        <v>41</v>
      </c>
      <c r="C21" s="15">
        <v>21.227887617065555</v>
      </c>
      <c r="D21" s="13">
        <v>0</v>
      </c>
      <c r="E21" s="13">
        <v>30.3</v>
      </c>
      <c r="F21" s="13" t="s">
        <v>7</v>
      </c>
      <c r="G21" s="14">
        <v>0</v>
      </c>
      <c r="H21" s="14">
        <v>12</v>
      </c>
      <c r="I21" s="14">
        <v>0</v>
      </c>
      <c r="J21" s="14">
        <f>K21+L21</f>
        <v>2</v>
      </c>
      <c r="K21" s="14">
        <v>0</v>
      </c>
      <c r="L21" s="14">
        <v>2</v>
      </c>
      <c r="M21" s="14">
        <v>2</v>
      </c>
      <c r="N21" s="14">
        <f>M21+L21+K21</f>
        <v>4</v>
      </c>
    </row>
    <row r="22" spans="1:14" x14ac:dyDescent="0.2">
      <c r="A22" s="13">
        <v>26</v>
      </c>
      <c r="B22" s="13">
        <v>24</v>
      </c>
      <c r="C22" s="15">
        <v>20.576131687242793</v>
      </c>
      <c r="D22" s="13">
        <v>0</v>
      </c>
      <c r="E22" s="13">
        <v>28</v>
      </c>
      <c r="F22" s="13" t="s">
        <v>7</v>
      </c>
      <c r="G22" s="14">
        <v>0</v>
      </c>
      <c r="H22" s="14">
        <v>12</v>
      </c>
      <c r="I22" s="14">
        <v>0</v>
      </c>
      <c r="J22" s="14">
        <f>K22+L22</f>
        <v>0</v>
      </c>
      <c r="K22" s="14">
        <v>0</v>
      </c>
      <c r="L22" s="14">
        <v>0</v>
      </c>
      <c r="M22" s="14">
        <v>0</v>
      </c>
      <c r="N22" s="14">
        <f>M22+L22+K22</f>
        <v>0</v>
      </c>
    </row>
    <row r="23" spans="1:14" x14ac:dyDescent="0.2">
      <c r="A23" s="13">
        <v>27</v>
      </c>
      <c r="B23" s="13">
        <v>25</v>
      </c>
      <c r="C23" s="15">
        <v>22.03856749311295</v>
      </c>
      <c r="D23" s="13">
        <v>0</v>
      </c>
      <c r="E23" s="13">
        <v>30.4</v>
      </c>
      <c r="F23" s="13">
        <v>30.5</v>
      </c>
      <c r="G23" s="14">
        <v>0</v>
      </c>
      <c r="H23" s="14">
        <v>13</v>
      </c>
      <c r="I23" s="14">
        <v>0</v>
      </c>
      <c r="J23" s="14">
        <f>K23+L23</f>
        <v>0</v>
      </c>
      <c r="K23" s="14">
        <v>0</v>
      </c>
      <c r="L23" s="14">
        <v>0</v>
      </c>
      <c r="M23" s="14">
        <v>0</v>
      </c>
      <c r="N23" s="14">
        <f>M23+L23+K23</f>
        <v>0</v>
      </c>
    </row>
    <row r="24" spans="1:14" x14ac:dyDescent="0.2">
      <c r="A24" s="13">
        <v>28</v>
      </c>
      <c r="B24" s="13">
        <v>37</v>
      </c>
      <c r="C24" s="15">
        <v>21.484374999999996</v>
      </c>
      <c r="D24" s="13">
        <v>0</v>
      </c>
      <c r="E24" s="13">
        <v>14.8</v>
      </c>
      <c r="F24" s="13" t="s">
        <v>7</v>
      </c>
      <c r="G24" s="14">
        <v>0</v>
      </c>
      <c r="H24" s="14">
        <v>14</v>
      </c>
      <c r="I24" s="14">
        <v>0</v>
      </c>
      <c r="J24" s="14">
        <f>K24+L24</f>
        <v>1</v>
      </c>
      <c r="K24" s="14">
        <v>0</v>
      </c>
      <c r="L24" s="14">
        <v>1</v>
      </c>
      <c r="M24" s="14">
        <v>0</v>
      </c>
      <c r="N24" s="14">
        <f>M24+L24+K24</f>
        <v>1</v>
      </c>
    </row>
    <row r="25" spans="1:14" x14ac:dyDescent="0.2">
      <c r="A25" s="13">
        <v>29</v>
      </c>
      <c r="B25" s="13">
        <v>34</v>
      </c>
      <c r="C25" s="15">
        <v>20.39542143600416</v>
      </c>
      <c r="D25" s="13">
        <v>0</v>
      </c>
      <c r="E25" s="13">
        <v>47.6</v>
      </c>
      <c r="F25" s="13" t="s">
        <v>7</v>
      </c>
      <c r="G25" s="14">
        <v>0</v>
      </c>
      <c r="H25" s="14">
        <v>12</v>
      </c>
      <c r="I25" s="14">
        <v>0</v>
      </c>
      <c r="J25" s="14">
        <f>K25+L25</f>
        <v>1</v>
      </c>
      <c r="K25" s="14">
        <v>0</v>
      </c>
      <c r="L25" s="14">
        <v>1</v>
      </c>
      <c r="M25" s="14">
        <v>1</v>
      </c>
      <c r="N25" s="14">
        <f>M25+L25+K25</f>
        <v>2</v>
      </c>
    </row>
    <row r="26" spans="1:14" x14ac:dyDescent="0.2">
      <c r="A26" s="13">
        <v>31</v>
      </c>
      <c r="B26" s="13">
        <v>42</v>
      </c>
      <c r="C26" s="15">
        <v>20.195578231292519</v>
      </c>
      <c r="D26" s="13">
        <v>0</v>
      </c>
      <c r="E26" s="13">
        <v>35.299999999999997</v>
      </c>
      <c r="F26" s="13" t="s">
        <v>7</v>
      </c>
      <c r="G26" s="14">
        <v>0</v>
      </c>
      <c r="H26" s="14">
        <v>12</v>
      </c>
      <c r="I26" s="14">
        <v>0</v>
      </c>
      <c r="J26" s="14">
        <f>K26+L26</f>
        <v>2</v>
      </c>
      <c r="K26" s="14">
        <v>0</v>
      </c>
      <c r="L26" s="14">
        <v>2</v>
      </c>
      <c r="M26" s="14">
        <v>0</v>
      </c>
      <c r="N26" s="14">
        <f>M26+L26+K26</f>
        <v>2</v>
      </c>
    </row>
    <row r="27" spans="1:14" x14ac:dyDescent="0.2">
      <c r="A27" s="13">
        <v>32</v>
      </c>
      <c r="B27" s="13">
        <v>32</v>
      </c>
      <c r="C27" s="15">
        <v>16.649323621227886</v>
      </c>
      <c r="D27" s="13">
        <v>0</v>
      </c>
      <c r="E27" s="13">
        <v>155.9</v>
      </c>
      <c r="F27" s="13" t="s">
        <v>7</v>
      </c>
      <c r="G27" s="14">
        <v>0</v>
      </c>
      <c r="H27" s="14">
        <v>12</v>
      </c>
      <c r="I27" s="14">
        <v>0</v>
      </c>
      <c r="J27" s="14">
        <f>K27+L27</f>
        <v>2</v>
      </c>
      <c r="K27" s="14">
        <v>0</v>
      </c>
      <c r="L27" s="14">
        <v>2</v>
      </c>
      <c r="M27" s="14">
        <v>1</v>
      </c>
      <c r="N27" s="14">
        <f>M27+L27+K27</f>
        <v>3</v>
      </c>
    </row>
    <row r="28" spans="1:14" x14ac:dyDescent="0.2">
      <c r="A28" s="13">
        <v>33</v>
      </c>
      <c r="B28" s="13">
        <v>26</v>
      </c>
      <c r="C28" s="15">
        <v>19.227687870533565</v>
      </c>
      <c r="D28" s="13">
        <v>0</v>
      </c>
      <c r="E28" s="13">
        <v>61.2</v>
      </c>
      <c r="F28" s="13" t="s">
        <v>7</v>
      </c>
      <c r="G28" s="14">
        <v>0</v>
      </c>
      <c r="H28" s="14">
        <v>12</v>
      </c>
      <c r="I28" s="14">
        <v>0</v>
      </c>
      <c r="J28" s="14">
        <f>K28+L28</f>
        <v>0</v>
      </c>
      <c r="K28" s="14">
        <v>0</v>
      </c>
      <c r="L28" s="14">
        <v>0</v>
      </c>
      <c r="M28" s="14">
        <v>0</v>
      </c>
      <c r="N28" s="14">
        <f>M28+L28+K28</f>
        <v>0</v>
      </c>
    </row>
    <row r="29" spans="1:14" x14ac:dyDescent="0.2">
      <c r="A29" s="13">
        <v>34</v>
      </c>
      <c r="B29" s="13">
        <v>36</v>
      </c>
      <c r="C29" s="15">
        <v>20.312499999999996</v>
      </c>
      <c r="D29" s="13">
        <v>0</v>
      </c>
      <c r="E29" s="13">
        <v>173.2</v>
      </c>
      <c r="F29" s="13">
        <v>38.4</v>
      </c>
      <c r="G29" s="14">
        <v>0</v>
      </c>
      <c r="H29" s="14">
        <v>12</v>
      </c>
      <c r="I29" s="14">
        <v>0</v>
      </c>
      <c r="J29" s="14">
        <f>K29+L29</f>
        <v>1</v>
      </c>
      <c r="K29" s="14">
        <v>0</v>
      </c>
      <c r="L29" s="14">
        <v>1</v>
      </c>
      <c r="M29" s="14">
        <v>0</v>
      </c>
      <c r="N29" s="14">
        <f>M29+L29+K29</f>
        <v>1</v>
      </c>
    </row>
    <row r="30" spans="1:14" x14ac:dyDescent="0.2">
      <c r="A30" s="13">
        <v>36</v>
      </c>
      <c r="B30" s="13">
        <v>24</v>
      </c>
      <c r="C30" s="15">
        <v>24.121749046094468</v>
      </c>
      <c r="D30" s="13">
        <v>0</v>
      </c>
      <c r="E30" s="13">
        <v>61.6</v>
      </c>
      <c r="F30" s="13">
        <v>29.1</v>
      </c>
      <c r="G30" s="14">
        <v>0</v>
      </c>
      <c r="H30" s="14">
        <v>12</v>
      </c>
      <c r="I30" s="14">
        <v>0</v>
      </c>
      <c r="J30" s="14">
        <f>K30+L30</f>
        <v>0</v>
      </c>
      <c r="K30" s="14">
        <v>0</v>
      </c>
      <c r="L30" s="14">
        <v>0</v>
      </c>
      <c r="M30" s="14">
        <v>0</v>
      </c>
      <c r="N30" s="14">
        <f>M30+L30+K30</f>
        <v>0</v>
      </c>
    </row>
    <row r="31" spans="1:14" x14ac:dyDescent="0.2">
      <c r="A31" s="13">
        <v>37</v>
      </c>
      <c r="B31" s="13">
        <v>34</v>
      </c>
      <c r="C31" s="15">
        <v>21.230572023714146</v>
      </c>
      <c r="D31" s="13">
        <v>0</v>
      </c>
      <c r="E31" s="13">
        <v>52</v>
      </c>
      <c r="F31" s="27">
        <v>27</v>
      </c>
      <c r="G31" s="14">
        <v>0</v>
      </c>
      <c r="H31" s="14">
        <v>12</v>
      </c>
      <c r="I31" s="14">
        <v>0</v>
      </c>
      <c r="J31" s="14">
        <f>K31+L31</f>
        <v>2</v>
      </c>
      <c r="K31" s="14">
        <v>2</v>
      </c>
      <c r="L31" s="14">
        <v>0</v>
      </c>
      <c r="M31" s="14">
        <v>1</v>
      </c>
      <c r="N31" s="14">
        <f>M31+L31+K31</f>
        <v>3</v>
      </c>
    </row>
    <row r="32" spans="1:14" x14ac:dyDescent="0.2">
      <c r="A32" s="13">
        <v>38</v>
      </c>
      <c r="B32" s="13">
        <v>39</v>
      </c>
      <c r="C32" s="15">
        <v>20.444444444444443</v>
      </c>
      <c r="D32" s="13">
        <v>0</v>
      </c>
      <c r="E32" s="13">
        <v>21.1</v>
      </c>
      <c r="F32" s="13" t="s">
        <v>7</v>
      </c>
      <c r="G32" s="14">
        <v>0</v>
      </c>
      <c r="H32" s="14">
        <v>13</v>
      </c>
      <c r="I32" s="14">
        <v>0</v>
      </c>
      <c r="J32" s="14">
        <f>K32+L32</f>
        <v>1</v>
      </c>
      <c r="K32" s="14">
        <v>1</v>
      </c>
      <c r="L32" s="14">
        <v>0</v>
      </c>
      <c r="M32" s="14">
        <v>1</v>
      </c>
      <c r="N32" s="14">
        <f>M32+L32+K32</f>
        <v>2</v>
      </c>
    </row>
    <row r="33" spans="1:14" x14ac:dyDescent="0.2">
      <c r="A33" s="13">
        <v>39</v>
      </c>
      <c r="B33" s="13">
        <v>20</v>
      </c>
      <c r="C33" s="15">
        <v>19.491703423650492</v>
      </c>
      <c r="D33" s="13">
        <v>0</v>
      </c>
      <c r="E33" s="13">
        <v>59.3</v>
      </c>
      <c r="F33" s="13" t="s">
        <v>7</v>
      </c>
      <c r="G33" s="14">
        <v>0</v>
      </c>
      <c r="H33" s="14">
        <v>12</v>
      </c>
      <c r="I33" s="14">
        <v>0</v>
      </c>
      <c r="J33" s="14">
        <f>K33+L33</f>
        <v>0</v>
      </c>
      <c r="K33" s="14">
        <v>0</v>
      </c>
      <c r="L33" s="14">
        <v>0</v>
      </c>
      <c r="M33" s="14">
        <v>0</v>
      </c>
      <c r="N33" s="14">
        <f>M33+L33+K33</f>
        <v>0</v>
      </c>
    </row>
    <row r="34" spans="1:14" x14ac:dyDescent="0.2">
      <c r="A34" s="13">
        <v>41</v>
      </c>
      <c r="B34" s="13">
        <v>28</v>
      </c>
      <c r="C34" s="15">
        <v>20.428357113217785</v>
      </c>
      <c r="D34" s="13">
        <v>0</v>
      </c>
      <c r="E34" s="13">
        <v>16.100000000000001</v>
      </c>
      <c r="F34" s="13" t="s">
        <v>7</v>
      </c>
      <c r="G34" s="14">
        <v>0</v>
      </c>
      <c r="H34" s="14">
        <v>13</v>
      </c>
      <c r="I34" s="14">
        <v>0</v>
      </c>
      <c r="J34" s="14">
        <f>K34+L34</f>
        <v>0</v>
      </c>
      <c r="K34" s="14">
        <v>0</v>
      </c>
      <c r="L34" s="14">
        <v>0</v>
      </c>
      <c r="M34" s="14">
        <v>0</v>
      </c>
      <c r="N34" s="14">
        <f>M34+L34+K34</f>
        <v>0</v>
      </c>
    </row>
    <row r="35" spans="1:14" x14ac:dyDescent="0.2">
      <c r="A35" s="13">
        <v>42</v>
      </c>
      <c r="B35" s="13">
        <v>47</v>
      </c>
      <c r="C35" s="15">
        <v>22.351716961498436</v>
      </c>
      <c r="D35" s="13">
        <v>0</v>
      </c>
      <c r="E35" s="13">
        <v>39.5</v>
      </c>
      <c r="F35" s="13">
        <v>30.1</v>
      </c>
      <c r="G35" s="14">
        <v>0</v>
      </c>
      <c r="H35" s="14">
        <v>12</v>
      </c>
      <c r="I35" s="14">
        <v>0</v>
      </c>
      <c r="J35" s="14">
        <f>K35+L35</f>
        <v>1</v>
      </c>
      <c r="K35" s="14">
        <v>1</v>
      </c>
      <c r="L35" s="14">
        <v>0</v>
      </c>
      <c r="M35" s="14">
        <v>5</v>
      </c>
      <c r="N35" s="14">
        <f>M35+L35+K35</f>
        <v>6</v>
      </c>
    </row>
    <row r="36" spans="1:14" x14ac:dyDescent="0.2">
      <c r="A36" s="13">
        <v>43</v>
      </c>
      <c r="B36" s="13">
        <v>51</v>
      </c>
      <c r="C36" s="15">
        <v>23.233456176894723</v>
      </c>
      <c r="D36" s="13">
        <v>0</v>
      </c>
      <c r="E36" s="13">
        <v>42.7</v>
      </c>
      <c r="F36" s="13" t="s">
        <v>7</v>
      </c>
      <c r="G36" s="14">
        <v>0</v>
      </c>
      <c r="H36" s="14">
        <v>12</v>
      </c>
      <c r="I36" s="14">
        <v>0</v>
      </c>
      <c r="J36" s="14">
        <f>K36+L36</f>
        <v>1</v>
      </c>
      <c r="K36" s="14">
        <v>1</v>
      </c>
      <c r="L36" s="14">
        <v>0</v>
      </c>
      <c r="M36" s="14">
        <v>2</v>
      </c>
      <c r="N36" s="14">
        <f>M36+L36+K36</f>
        <v>3</v>
      </c>
    </row>
    <row r="37" spans="1:14" x14ac:dyDescent="0.2">
      <c r="A37" s="13">
        <v>44</v>
      </c>
      <c r="B37" s="13">
        <v>31</v>
      </c>
      <c r="C37" s="15">
        <v>21.631148854350261</v>
      </c>
      <c r="D37" s="13">
        <v>0</v>
      </c>
      <c r="E37" s="13">
        <v>60.8</v>
      </c>
      <c r="F37" s="13" t="s">
        <v>7</v>
      </c>
      <c r="G37" s="14">
        <v>0</v>
      </c>
      <c r="H37" s="14">
        <v>12</v>
      </c>
      <c r="I37" s="14">
        <v>0</v>
      </c>
      <c r="J37" s="14">
        <f>K37+L37</f>
        <v>1</v>
      </c>
      <c r="K37" s="14">
        <v>0</v>
      </c>
      <c r="L37" s="14">
        <v>1</v>
      </c>
      <c r="M37" s="14">
        <v>0</v>
      </c>
      <c r="N37" s="14">
        <f>M37+L37+K37</f>
        <v>1</v>
      </c>
    </row>
    <row r="38" spans="1:14" x14ac:dyDescent="0.2">
      <c r="A38" s="13">
        <v>46</v>
      </c>
      <c r="B38" s="13">
        <v>32</v>
      </c>
      <c r="C38" s="15">
        <v>23.433744592212783</v>
      </c>
      <c r="D38" s="13">
        <v>0</v>
      </c>
      <c r="E38" s="13">
        <v>56.5</v>
      </c>
      <c r="F38" s="13">
        <v>31.3</v>
      </c>
      <c r="G38" s="14">
        <v>0</v>
      </c>
      <c r="H38" s="14">
        <v>12</v>
      </c>
      <c r="I38" s="14">
        <v>0</v>
      </c>
      <c r="J38" s="14">
        <f>K38+L38</f>
        <v>0</v>
      </c>
      <c r="K38" s="14">
        <v>0</v>
      </c>
      <c r="L38" s="14">
        <v>0</v>
      </c>
      <c r="M38" s="14">
        <v>0</v>
      </c>
      <c r="N38" s="14">
        <f>M38+L38+K38</f>
        <v>0</v>
      </c>
    </row>
    <row r="39" spans="1:14" x14ac:dyDescent="0.2">
      <c r="A39" s="13">
        <v>47</v>
      </c>
      <c r="B39" s="13">
        <v>37</v>
      </c>
      <c r="C39" s="15">
        <v>21.338210638622158</v>
      </c>
      <c r="D39" s="13">
        <v>0</v>
      </c>
      <c r="E39" s="13">
        <v>46.4</v>
      </c>
      <c r="F39" s="13" t="s">
        <v>7</v>
      </c>
      <c r="G39" s="14">
        <v>0</v>
      </c>
      <c r="H39" s="14">
        <v>14</v>
      </c>
      <c r="I39" s="14">
        <v>0</v>
      </c>
      <c r="J39" s="14">
        <f>K39+L39</f>
        <v>0</v>
      </c>
      <c r="K39" s="14">
        <v>0</v>
      </c>
      <c r="L39" s="14">
        <v>0</v>
      </c>
      <c r="M39" s="14">
        <v>0</v>
      </c>
      <c r="N39" s="14">
        <f>M39+L39+K39</f>
        <v>0</v>
      </c>
    </row>
    <row r="40" spans="1:14" x14ac:dyDescent="0.2">
      <c r="A40" s="13">
        <v>48</v>
      </c>
      <c r="B40" s="13">
        <v>31</v>
      </c>
      <c r="C40" s="15">
        <v>22.647376960519203</v>
      </c>
      <c r="D40" s="13">
        <v>0</v>
      </c>
      <c r="E40" s="13">
        <v>39.4</v>
      </c>
      <c r="F40" s="13">
        <v>39.1</v>
      </c>
      <c r="G40" s="14">
        <v>0</v>
      </c>
      <c r="H40" s="14">
        <v>14</v>
      </c>
      <c r="I40" s="14">
        <v>0</v>
      </c>
      <c r="J40" s="14">
        <f>K40+L40</f>
        <v>0</v>
      </c>
      <c r="K40" s="14">
        <v>0</v>
      </c>
      <c r="L40" s="14">
        <v>0</v>
      </c>
      <c r="M40" s="14">
        <v>0</v>
      </c>
      <c r="N40" s="14">
        <f>M40+L40+K40</f>
        <v>0</v>
      </c>
    </row>
    <row r="41" spans="1:14" x14ac:dyDescent="0.2">
      <c r="A41" s="13">
        <v>49</v>
      </c>
      <c r="B41" s="13">
        <v>32</v>
      </c>
      <c r="C41" s="15">
        <v>20.195092211553114</v>
      </c>
      <c r="D41" s="13">
        <v>0</v>
      </c>
      <c r="E41" s="13">
        <v>13.6</v>
      </c>
      <c r="F41" s="13" t="s">
        <v>7</v>
      </c>
      <c r="G41" s="14">
        <v>0</v>
      </c>
      <c r="H41" s="14">
        <v>13</v>
      </c>
      <c r="I41" s="14">
        <v>0</v>
      </c>
      <c r="J41" s="14">
        <f>K41+L41</f>
        <v>0</v>
      </c>
      <c r="K41" s="14">
        <v>0</v>
      </c>
      <c r="L41" s="14">
        <v>0</v>
      </c>
      <c r="M41" s="14">
        <v>0</v>
      </c>
      <c r="N41" s="14">
        <f>M41+L41+K41</f>
        <v>0</v>
      </c>
    </row>
    <row r="42" spans="1:14" x14ac:dyDescent="0.2">
      <c r="A42" s="13">
        <v>51</v>
      </c>
      <c r="B42" s="13">
        <v>39</v>
      </c>
      <c r="C42" s="15">
        <v>20.229129947123855</v>
      </c>
      <c r="D42" s="13">
        <v>0</v>
      </c>
      <c r="E42" s="13">
        <v>16</v>
      </c>
      <c r="F42" s="13" t="s">
        <v>7</v>
      </c>
      <c r="G42" s="14">
        <v>0</v>
      </c>
      <c r="H42" s="14">
        <v>14</v>
      </c>
      <c r="I42" s="14">
        <v>0</v>
      </c>
      <c r="J42" s="14">
        <f>K42+L42</f>
        <v>1</v>
      </c>
      <c r="K42" s="14">
        <v>0</v>
      </c>
      <c r="L42" s="14">
        <v>1</v>
      </c>
      <c r="M42" s="14">
        <v>0</v>
      </c>
      <c r="N42" s="14">
        <f>M42+L42+K42</f>
        <v>1</v>
      </c>
    </row>
    <row r="43" spans="1:14" x14ac:dyDescent="0.2">
      <c r="A43" s="13">
        <v>52</v>
      </c>
      <c r="B43" s="13">
        <v>55</v>
      </c>
      <c r="C43" s="15">
        <v>24.218749999999996</v>
      </c>
      <c r="D43" s="13">
        <v>1</v>
      </c>
      <c r="E43" s="13">
        <v>5</v>
      </c>
      <c r="F43" s="13" t="s">
        <v>7</v>
      </c>
      <c r="G43" s="14">
        <v>0</v>
      </c>
      <c r="H43" s="14">
        <v>14</v>
      </c>
      <c r="I43" s="14">
        <v>1</v>
      </c>
      <c r="J43" s="14">
        <f>K43+L43</f>
        <v>1</v>
      </c>
      <c r="K43" s="14">
        <v>0</v>
      </c>
      <c r="L43" s="14">
        <v>1</v>
      </c>
      <c r="M43" s="14">
        <v>2</v>
      </c>
      <c r="N43" s="14">
        <f>M43+L43+K43</f>
        <v>3</v>
      </c>
    </row>
    <row r="44" spans="1:14" x14ac:dyDescent="0.2">
      <c r="A44" s="13">
        <v>53</v>
      </c>
      <c r="B44" s="13">
        <v>29</v>
      </c>
      <c r="C44" s="15">
        <v>18.025957378625218</v>
      </c>
      <c r="D44" s="13">
        <v>0</v>
      </c>
      <c r="E44" s="13">
        <v>31.8</v>
      </c>
      <c r="F44" s="13" t="s">
        <v>7</v>
      </c>
      <c r="G44" s="14">
        <v>0</v>
      </c>
      <c r="H44" s="14">
        <v>13</v>
      </c>
      <c r="I44" s="14">
        <v>0</v>
      </c>
      <c r="J44" s="14">
        <f>K44+L44</f>
        <v>0</v>
      </c>
      <c r="K44" s="14">
        <v>0</v>
      </c>
      <c r="L44" s="14">
        <v>0</v>
      </c>
      <c r="M44" s="14">
        <v>0</v>
      </c>
      <c r="N44" s="14">
        <f>M44+L44+K44</f>
        <v>0</v>
      </c>
    </row>
    <row r="45" spans="1:14" x14ac:dyDescent="0.2">
      <c r="A45" s="13">
        <v>54</v>
      </c>
      <c r="B45" s="13">
        <v>50</v>
      </c>
      <c r="C45" s="15">
        <v>22.656249999999996</v>
      </c>
      <c r="D45" s="13">
        <v>0</v>
      </c>
      <c r="E45" s="13">
        <v>19.7</v>
      </c>
      <c r="F45" s="13">
        <v>39</v>
      </c>
      <c r="G45" s="14">
        <v>0</v>
      </c>
      <c r="H45" s="14">
        <v>13</v>
      </c>
      <c r="I45" s="14">
        <v>0</v>
      </c>
      <c r="J45" s="14">
        <f>K45+L45</f>
        <v>1</v>
      </c>
      <c r="K45" s="14">
        <v>1</v>
      </c>
      <c r="L45" s="14">
        <v>0</v>
      </c>
      <c r="M45" s="14">
        <v>1</v>
      </c>
      <c r="N45" s="14">
        <f>M45+L45+K45</f>
        <v>2</v>
      </c>
    </row>
    <row r="46" spans="1:14" x14ac:dyDescent="0.2">
      <c r="A46" s="13">
        <v>56</v>
      </c>
      <c r="B46" s="13">
        <v>27</v>
      </c>
      <c r="C46" s="15">
        <v>18.818924310286427</v>
      </c>
      <c r="D46" s="13">
        <v>0</v>
      </c>
      <c r="E46" s="13">
        <v>53.4</v>
      </c>
      <c r="F46" s="13" t="s">
        <v>7</v>
      </c>
      <c r="G46" s="14">
        <v>0</v>
      </c>
      <c r="H46" s="14">
        <v>14</v>
      </c>
      <c r="I46" s="14">
        <v>0</v>
      </c>
      <c r="J46" s="14">
        <f>K46+L46</f>
        <v>0</v>
      </c>
      <c r="K46" s="14">
        <v>0</v>
      </c>
      <c r="L46" s="14">
        <v>0</v>
      </c>
      <c r="M46" s="14">
        <v>0</v>
      </c>
      <c r="N46" s="14">
        <f>M46+L46+K46</f>
        <v>0</v>
      </c>
    </row>
    <row r="47" spans="1:14" x14ac:dyDescent="0.2">
      <c r="A47" s="13">
        <v>57</v>
      </c>
      <c r="B47" s="13">
        <v>25</v>
      </c>
      <c r="C47" s="15">
        <v>18.590124925639504</v>
      </c>
      <c r="D47" s="13">
        <v>0</v>
      </c>
      <c r="E47" s="13">
        <v>24.5</v>
      </c>
      <c r="F47" s="13" t="s">
        <v>7</v>
      </c>
      <c r="G47" s="14">
        <v>0</v>
      </c>
      <c r="H47" s="14">
        <v>13</v>
      </c>
      <c r="I47" s="14">
        <v>0</v>
      </c>
      <c r="J47" s="14">
        <f>K47+L47</f>
        <v>0</v>
      </c>
      <c r="K47" s="14">
        <v>0</v>
      </c>
      <c r="L47" s="14">
        <v>0</v>
      </c>
      <c r="M47" s="14">
        <v>0</v>
      </c>
      <c r="N47" s="14">
        <f>M47+L47+K47</f>
        <v>0</v>
      </c>
    </row>
    <row r="48" spans="1:14" x14ac:dyDescent="0.2">
      <c r="A48" s="13">
        <v>58</v>
      </c>
      <c r="B48" s="13">
        <v>29</v>
      </c>
      <c r="C48" s="15">
        <v>18.778344671201818</v>
      </c>
      <c r="D48" s="13">
        <v>0</v>
      </c>
      <c r="E48" s="13">
        <v>21.8</v>
      </c>
      <c r="F48" s="13" t="s">
        <v>7</v>
      </c>
      <c r="G48" s="14">
        <v>0</v>
      </c>
      <c r="H48" s="14">
        <v>12</v>
      </c>
      <c r="I48" s="14">
        <v>0</v>
      </c>
      <c r="J48" s="14">
        <f>K48+L48</f>
        <v>0</v>
      </c>
      <c r="K48" s="14">
        <v>0</v>
      </c>
      <c r="L48" s="14">
        <v>0</v>
      </c>
      <c r="M48" s="14">
        <v>0</v>
      </c>
      <c r="N48" s="14">
        <f>M48+L48+K48</f>
        <v>0</v>
      </c>
    </row>
    <row r="49" spans="1:14" x14ac:dyDescent="0.2">
      <c r="A49" s="13">
        <v>59</v>
      </c>
      <c r="B49" s="13">
        <v>36</v>
      </c>
      <c r="C49" s="15">
        <v>34.205829863176689</v>
      </c>
      <c r="D49" s="13">
        <v>0</v>
      </c>
      <c r="E49" s="13">
        <v>13.4</v>
      </c>
      <c r="F49" s="13" t="s">
        <v>7</v>
      </c>
      <c r="G49" s="14">
        <v>0</v>
      </c>
      <c r="H49" s="14">
        <v>11</v>
      </c>
      <c r="I49" s="14">
        <v>0</v>
      </c>
      <c r="J49" s="14">
        <f>K49+L49</f>
        <v>0</v>
      </c>
      <c r="K49" s="14">
        <v>0</v>
      </c>
      <c r="L49" s="14">
        <v>0</v>
      </c>
      <c r="M49" s="14">
        <v>0</v>
      </c>
      <c r="N49" s="14">
        <f>M49+L49+K49</f>
        <v>0</v>
      </c>
    </row>
    <row r="50" spans="1:14" x14ac:dyDescent="0.2">
      <c r="A50" s="13">
        <v>61</v>
      </c>
      <c r="B50" s="13">
        <v>28</v>
      </c>
      <c r="C50" s="15">
        <v>25.155895691609981</v>
      </c>
      <c r="D50" s="13">
        <v>0</v>
      </c>
      <c r="E50" s="13">
        <v>27</v>
      </c>
      <c r="F50" s="13" t="s">
        <v>7</v>
      </c>
      <c r="G50" s="14">
        <v>0</v>
      </c>
      <c r="H50" s="14">
        <v>13</v>
      </c>
      <c r="I50" s="14">
        <v>0</v>
      </c>
      <c r="J50" s="14">
        <f>K50+L50</f>
        <v>0</v>
      </c>
      <c r="K50" s="14">
        <v>0</v>
      </c>
      <c r="L50" s="14">
        <v>0</v>
      </c>
      <c r="M50" s="14">
        <v>0</v>
      </c>
      <c r="N50" s="14">
        <f>M50+L50+K50</f>
        <v>0</v>
      </c>
    </row>
    <row r="51" spans="1:14" x14ac:dyDescent="0.2">
      <c r="A51" s="13">
        <v>62</v>
      </c>
      <c r="B51" s="13">
        <v>27</v>
      </c>
      <c r="C51" s="15">
        <v>19.957284408809219</v>
      </c>
      <c r="D51" s="13">
        <v>0</v>
      </c>
      <c r="E51" s="13">
        <v>55</v>
      </c>
      <c r="F51" s="13">
        <v>30.9</v>
      </c>
      <c r="G51" s="14">
        <v>0</v>
      </c>
      <c r="H51" s="14">
        <v>12</v>
      </c>
      <c r="I51" s="14">
        <v>0</v>
      </c>
      <c r="J51" s="14">
        <f>K51+L51</f>
        <v>0</v>
      </c>
      <c r="K51" s="14">
        <v>0</v>
      </c>
      <c r="L51" s="14">
        <v>0</v>
      </c>
      <c r="M51" s="14">
        <v>0</v>
      </c>
      <c r="N51" s="14">
        <f>M51+L51+K51</f>
        <v>0</v>
      </c>
    </row>
    <row r="52" spans="1:14" x14ac:dyDescent="0.2">
      <c r="A52" s="13">
        <v>63</v>
      </c>
      <c r="B52" s="13">
        <v>25</v>
      </c>
      <c r="C52" s="15">
        <v>22.10028959000152</v>
      </c>
      <c r="D52" s="13">
        <v>0</v>
      </c>
      <c r="E52" s="13">
        <v>51.4</v>
      </c>
      <c r="F52" s="13" t="s">
        <v>7</v>
      </c>
      <c r="G52" s="14">
        <v>0</v>
      </c>
      <c r="H52" s="14">
        <v>12</v>
      </c>
      <c r="I52" s="14">
        <v>0</v>
      </c>
      <c r="J52" s="14">
        <f>K52+L52</f>
        <v>0</v>
      </c>
      <c r="K52" s="14">
        <v>0</v>
      </c>
      <c r="L52" s="14">
        <v>0</v>
      </c>
      <c r="M52" s="14">
        <v>0</v>
      </c>
      <c r="N52" s="14">
        <f>M52+L52+K52</f>
        <v>0</v>
      </c>
    </row>
    <row r="53" spans="1:14" x14ac:dyDescent="0.2">
      <c r="A53" s="13">
        <v>64</v>
      </c>
      <c r="B53" s="13">
        <v>30</v>
      </c>
      <c r="C53" s="15">
        <v>24.609733700642796</v>
      </c>
      <c r="D53" s="13">
        <v>0</v>
      </c>
      <c r="E53" s="13">
        <v>36.700000000000003</v>
      </c>
      <c r="F53" s="13">
        <v>35.6</v>
      </c>
      <c r="G53" s="14">
        <v>0</v>
      </c>
      <c r="H53" s="14">
        <v>11</v>
      </c>
      <c r="I53" s="14">
        <v>1</v>
      </c>
      <c r="J53" s="14">
        <f>K53+L53</f>
        <v>0</v>
      </c>
      <c r="K53" s="14">
        <v>0</v>
      </c>
      <c r="L53" s="14">
        <v>0</v>
      </c>
      <c r="M53" s="14">
        <v>0</v>
      </c>
      <c r="N53" s="14">
        <f>M53+L53+K53</f>
        <v>0</v>
      </c>
    </row>
    <row r="54" spans="1:14" x14ac:dyDescent="0.2">
      <c r="A54" s="13">
        <v>66</v>
      </c>
      <c r="B54" s="13">
        <v>26</v>
      </c>
      <c r="C54" s="15">
        <v>20.82999519307803</v>
      </c>
      <c r="D54" s="13">
        <v>0</v>
      </c>
      <c r="E54" s="13">
        <v>15.2</v>
      </c>
      <c r="F54" s="13" t="s">
        <v>7</v>
      </c>
      <c r="G54" s="14">
        <v>0</v>
      </c>
      <c r="H54" s="14">
        <v>13</v>
      </c>
      <c r="I54" s="14">
        <v>0</v>
      </c>
      <c r="J54" s="14">
        <f>K54+L54</f>
        <v>0</v>
      </c>
      <c r="K54" s="14">
        <v>0</v>
      </c>
      <c r="L54" s="14">
        <v>0</v>
      </c>
      <c r="M54" s="14">
        <v>0</v>
      </c>
      <c r="N54" s="14">
        <f>M54+L54+K54</f>
        <v>0</v>
      </c>
    </row>
    <row r="55" spans="1:14" x14ac:dyDescent="0.2">
      <c r="A55" s="13">
        <v>67</v>
      </c>
      <c r="B55" s="13">
        <v>29</v>
      </c>
      <c r="C55" s="15">
        <v>19.146722164412068</v>
      </c>
      <c r="D55" s="13">
        <v>0</v>
      </c>
      <c r="E55" s="13">
        <v>62.3</v>
      </c>
      <c r="F55" s="13" t="s">
        <v>7</v>
      </c>
      <c r="G55" s="14">
        <v>0</v>
      </c>
      <c r="H55" s="14">
        <v>12</v>
      </c>
      <c r="I55" s="14">
        <v>1</v>
      </c>
      <c r="J55" s="14">
        <f>K55+L55</f>
        <v>1</v>
      </c>
      <c r="K55" s="14">
        <v>0</v>
      </c>
      <c r="L55" s="14">
        <v>1</v>
      </c>
      <c r="M55" s="14">
        <v>0</v>
      </c>
      <c r="N55" s="14">
        <f>M55+L55+K55</f>
        <v>1</v>
      </c>
    </row>
    <row r="56" spans="1:14" x14ac:dyDescent="0.2">
      <c r="A56" s="13">
        <v>68</v>
      </c>
      <c r="B56" s="13">
        <v>26</v>
      </c>
      <c r="C56" s="15">
        <v>19.146722164412068</v>
      </c>
      <c r="D56" s="13">
        <v>0</v>
      </c>
      <c r="E56" s="13">
        <v>53.2</v>
      </c>
      <c r="F56" s="13" t="s">
        <v>7</v>
      </c>
      <c r="G56" s="14">
        <v>0</v>
      </c>
      <c r="H56" s="14">
        <v>14</v>
      </c>
      <c r="I56" s="14">
        <v>0</v>
      </c>
      <c r="J56" s="14">
        <f>K56+L56</f>
        <v>0</v>
      </c>
      <c r="K56" s="14">
        <v>0</v>
      </c>
      <c r="L56" s="14">
        <v>0</v>
      </c>
      <c r="M56" s="14">
        <v>0</v>
      </c>
      <c r="N56" s="14">
        <f>M56+L56+K56</f>
        <v>0</v>
      </c>
    </row>
    <row r="57" spans="1:14" x14ac:dyDescent="0.2">
      <c r="A57" s="13">
        <v>69</v>
      </c>
      <c r="B57" s="13">
        <v>29</v>
      </c>
      <c r="C57" s="15">
        <v>24.776795249690291</v>
      </c>
      <c r="D57" s="13">
        <v>0</v>
      </c>
      <c r="E57" s="13">
        <v>26.1</v>
      </c>
      <c r="F57" s="13" t="s">
        <v>7</v>
      </c>
      <c r="G57" s="14">
        <v>0</v>
      </c>
      <c r="H57" s="14">
        <v>12</v>
      </c>
      <c r="I57" s="14">
        <v>0</v>
      </c>
      <c r="J57" s="14">
        <f>K57+L57</f>
        <v>0</v>
      </c>
      <c r="K57" s="14">
        <v>0</v>
      </c>
      <c r="L57" s="14">
        <v>0</v>
      </c>
      <c r="M57" s="14">
        <v>1</v>
      </c>
      <c r="N57" s="14">
        <f>M57+L57+K57</f>
        <v>1</v>
      </c>
    </row>
    <row r="58" spans="1:14" x14ac:dyDescent="0.2">
      <c r="A58" s="13">
        <v>71</v>
      </c>
      <c r="B58" s="13">
        <v>38</v>
      </c>
      <c r="C58" s="15">
        <v>22.77318640955005</v>
      </c>
      <c r="D58" s="13">
        <v>0</v>
      </c>
      <c r="E58" s="13">
        <v>73.900000000000006</v>
      </c>
      <c r="F58" s="13" t="s">
        <v>7</v>
      </c>
      <c r="G58" s="14">
        <v>0</v>
      </c>
      <c r="H58" s="14">
        <v>11</v>
      </c>
      <c r="I58" s="14">
        <v>0</v>
      </c>
      <c r="J58" s="14">
        <f>K58+L58</f>
        <v>2</v>
      </c>
      <c r="K58" s="14">
        <v>2</v>
      </c>
      <c r="L58" s="14">
        <v>0</v>
      </c>
      <c r="M58" s="14">
        <v>0</v>
      </c>
      <c r="N58" s="14">
        <f>M58+L58+K58</f>
        <v>2</v>
      </c>
    </row>
    <row r="59" spans="1:14" x14ac:dyDescent="0.2">
      <c r="A59" s="13">
        <v>72</v>
      </c>
      <c r="B59" s="13">
        <v>23</v>
      </c>
      <c r="C59" s="15">
        <v>19.157088122605362</v>
      </c>
      <c r="D59" s="13">
        <v>0</v>
      </c>
      <c r="E59" s="13">
        <v>70.099999999999994</v>
      </c>
      <c r="F59" s="13" t="s">
        <v>7</v>
      </c>
      <c r="G59" s="14">
        <v>0</v>
      </c>
      <c r="H59" s="14">
        <v>9</v>
      </c>
      <c r="I59" s="14">
        <v>0</v>
      </c>
      <c r="J59" s="14">
        <f>K59+L59</f>
        <v>0</v>
      </c>
      <c r="K59" s="14">
        <v>0</v>
      </c>
      <c r="L59" s="14">
        <v>0</v>
      </c>
      <c r="M59" s="14">
        <v>0</v>
      </c>
      <c r="N59" s="14">
        <f>M59+L59+K59</f>
        <v>0</v>
      </c>
    </row>
    <row r="60" spans="1:14" x14ac:dyDescent="0.2">
      <c r="A60" s="13">
        <v>73</v>
      </c>
      <c r="B60" s="13">
        <v>50</v>
      </c>
      <c r="C60" s="15">
        <v>24.609374999999996</v>
      </c>
      <c r="D60" s="13">
        <v>0</v>
      </c>
      <c r="E60" s="13">
        <v>88.1</v>
      </c>
      <c r="F60" s="13" t="s">
        <v>7</v>
      </c>
      <c r="G60" s="14">
        <v>0</v>
      </c>
      <c r="H60" s="14">
        <v>12</v>
      </c>
      <c r="I60" s="14">
        <v>0</v>
      </c>
      <c r="J60" s="14">
        <f>K60+L60</f>
        <v>2</v>
      </c>
      <c r="K60" s="14">
        <v>2</v>
      </c>
      <c r="L60" s="14">
        <v>0</v>
      </c>
      <c r="M60" s="14">
        <v>3</v>
      </c>
      <c r="N60" s="14">
        <f>M60+L60+K60</f>
        <v>5</v>
      </c>
    </row>
    <row r="61" spans="1:14" x14ac:dyDescent="0.2">
      <c r="A61" s="13">
        <v>74</v>
      </c>
      <c r="B61" s="13">
        <v>31</v>
      </c>
      <c r="C61" s="15">
        <v>24.464601603372351</v>
      </c>
      <c r="D61" s="13">
        <v>0</v>
      </c>
      <c r="E61" s="13">
        <v>32.700000000000003</v>
      </c>
      <c r="F61" s="13" t="s">
        <v>7</v>
      </c>
      <c r="G61" s="14">
        <v>0</v>
      </c>
      <c r="H61" s="14">
        <v>13</v>
      </c>
      <c r="I61" s="14">
        <v>0</v>
      </c>
      <c r="J61" s="14">
        <f>K61+L61</f>
        <v>0</v>
      </c>
      <c r="K61" s="14">
        <v>0</v>
      </c>
      <c r="L61" s="14">
        <v>0</v>
      </c>
      <c r="M61" s="14">
        <v>0</v>
      </c>
      <c r="N61" s="14">
        <f>M61+L61+K61</f>
        <v>0</v>
      </c>
    </row>
    <row r="62" spans="1:14" x14ac:dyDescent="0.2">
      <c r="A62" s="13">
        <v>76</v>
      </c>
      <c r="B62" s="13">
        <v>30</v>
      </c>
      <c r="C62" s="15">
        <v>21.230572023714146</v>
      </c>
      <c r="D62" s="13">
        <v>0</v>
      </c>
      <c r="E62" s="13">
        <v>17.399999999999999</v>
      </c>
      <c r="F62" s="13" t="s">
        <v>7</v>
      </c>
      <c r="G62" s="14">
        <v>0</v>
      </c>
      <c r="H62" s="14">
        <v>12</v>
      </c>
      <c r="I62" s="14">
        <v>0</v>
      </c>
      <c r="J62" s="14">
        <f>K62+L62</f>
        <v>0</v>
      </c>
      <c r="K62" s="14">
        <v>0</v>
      </c>
      <c r="L62" s="14">
        <v>0</v>
      </c>
      <c r="M62" s="14">
        <v>0</v>
      </c>
      <c r="N62" s="14">
        <f>M62+L62+K62</f>
        <v>0</v>
      </c>
    </row>
    <row r="63" spans="1:14" x14ac:dyDescent="0.2">
      <c r="A63" s="13">
        <v>77</v>
      </c>
      <c r="B63" s="13">
        <v>23</v>
      </c>
      <c r="C63" s="15">
        <v>17.263544536271812</v>
      </c>
      <c r="D63" s="13">
        <v>0</v>
      </c>
      <c r="E63" s="13">
        <v>27.6</v>
      </c>
      <c r="F63" s="13" t="s">
        <v>7</v>
      </c>
      <c r="G63" s="14">
        <v>0</v>
      </c>
      <c r="H63" s="14">
        <v>13</v>
      </c>
      <c r="I63" s="14">
        <v>0</v>
      </c>
      <c r="J63" s="14">
        <f>K63+L63</f>
        <v>0</v>
      </c>
      <c r="K63" s="14">
        <v>0</v>
      </c>
      <c r="L63" s="14">
        <v>0</v>
      </c>
      <c r="M63" s="14">
        <v>0</v>
      </c>
      <c r="N63" s="14">
        <f>M63+L63+K63</f>
        <v>0</v>
      </c>
    </row>
    <row r="64" spans="1:14" x14ac:dyDescent="0.2">
      <c r="A64" s="13">
        <v>78</v>
      </c>
      <c r="B64" s="13">
        <v>28</v>
      </c>
      <c r="C64" s="15">
        <v>19.044321329639889</v>
      </c>
      <c r="D64" s="13">
        <v>0</v>
      </c>
      <c r="E64" s="13">
        <v>15.5</v>
      </c>
      <c r="F64" s="13" t="s">
        <v>7</v>
      </c>
      <c r="G64" s="14">
        <v>0</v>
      </c>
      <c r="H64" s="14">
        <v>14</v>
      </c>
      <c r="I64" s="14">
        <v>0</v>
      </c>
      <c r="J64" s="14">
        <f>K64+L64</f>
        <v>0</v>
      </c>
      <c r="K64" s="14">
        <v>0</v>
      </c>
      <c r="L64" s="14">
        <v>0</v>
      </c>
      <c r="M64" s="14">
        <v>0</v>
      </c>
      <c r="N64" s="14">
        <f>M64+L64+K64</f>
        <v>0</v>
      </c>
    </row>
    <row r="65" spans="1:14" x14ac:dyDescent="0.2">
      <c r="A65" s="13">
        <v>79</v>
      </c>
      <c r="B65" s="13">
        <v>33</v>
      </c>
      <c r="C65" s="15">
        <v>18.730489073881373</v>
      </c>
      <c r="D65" s="13">
        <v>0</v>
      </c>
      <c r="E65" s="13">
        <v>17.2</v>
      </c>
      <c r="F65" s="13" t="s">
        <v>7</v>
      </c>
      <c r="G65" s="14">
        <v>0</v>
      </c>
      <c r="H65" s="14">
        <v>13</v>
      </c>
      <c r="I65" s="14">
        <v>0</v>
      </c>
      <c r="J65" s="14">
        <f>K65+L65</f>
        <v>1</v>
      </c>
      <c r="K65" s="14">
        <v>0</v>
      </c>
      <c r="L65" s="14">
        <v>1</v>
      </c>
      <c r="M65" s="14">
        <v>3</v>
      </c>
      <c r="N65" s="14">
        <f>M65+L65+K65</f>
        <v>4</v>
      </c>
    </row>
    <row r="66" spans="1:14" x14ac:dyDescent="0.2">
      <c r="A66" s="13">
        <v>81</v>
      </c>
      <c r="B66" s="13">
        <v>34</v>
      </c>
      <c r="C66" s="15">
        <v>23.437499999999996</v>
      </c>
      <c r="D66" s="13">
        <v>0</v>
      </c>
      <c r="E66" s="13">
        <v>105.3</v>
      </c>
      <c r="F66" s="13" t="s">
        <v>7</v>
      </c>
      <c r="G66" s="14">
        <v>0</v>
      </c>
      <c r="H66" s="14">
        <v>8</v>
      </c>
      <c r="I66" s="14">
        <v>0</v>
      </c>
      <c r="J66" s="14">
        <f>K66+L66</f>
        <v>0</v>
      </c>
      <c r="K66" s="14">
        <v>0</v>
      </c>
      <c r="L66" s="14">
        <v>0</v>
      </c>
      <c r="M66" s="14">
        <v>0</v>
      </c>
      <c r="N66" s="14">
        <f>M66+L66+K66</f>
        <v>0</v>
      </c>
    </row>
    <row r="67" spans="1:14" x14ac:dyDescent="0.2">
      <c r="A67" s="13">
        <v>82</v>
      </c>
      <c r="B67" s="13">
        <v>28</v>
      </c>
      <c r="C67" s="15">
        <v>17.777777777777779</v>
      </c>
      <c r="D67" s="13">
        <v>0</v>
      </c>
      <c r="E67" s="13">
        <v>29.4</v>
      </c>
      <c r="F67" s="13" t="s">
        <v>7</v>
      </c>
      <c r="G67" s="14">
        <v>0</v>
      </c>
      <c r="H67" s="14">
        <v>13</v>
      </c>
      <c r="I67" s="14">
        <v>0</v>
      </c>
      <c r="J67" s="14">
        <f>K67+L67</f>
        <v>0</v>
      </c>
      <c r="K67" s="14">
        <v>0</v>
      </c>
      <c r="L67" s="14">
        <v>0</v>
      </c>
      <c r="M67" s="14">
        <v>0</v>
      </c>
      <c r="N67" s="14">
        <f>M67+L67+K67</f>
        <v>0</v>
      </c>
    </row>
    <row r="68" spans="1:14" x14ac:dyDescent="0.2">
      <c r="A68" s="13">
        <v>83</v>
      </c>
      <c r="B68" s="13">
        <v>28</v>
      </c>
      <c r="C68" s="15">
        <v>21.258503401360546</v>
      </c>
      <c r="D68" s="13">
        <v>0</v>
      </c>
      <c r="E68" s="13">
        <v>294.89999999999998</v>
      </c>
      <c r="F68" s="13" t="s">
        <v>7</v>
      </c>
      <c r="G68" s="14">
        <v>0</v>
      </c>
      <c r="H68" s="14">
        <v>13</v>
      </c>
      <c r="I68" s="14">
        <v>0</v>
      </c>
      <c r="J68" s="14">
        <f>K68+L68</f>
        <v>0</v>
      </c>
      <c r="K68" s="14">
        <v>0</v>
      </c>
      <c r="L68" s="14">
        <v>0</v>
      </c>
      <c r="M68" s="14">
        <v>0</v>
      </c>
      <c r="N68" s="14">
        <f>M68+L68+K68</f>
        <v>0</v>
      </c>
    </row>
    <row r="69" spans="1:14" x14ac:dyDescent="0.2">
      <c r="A69" s="13">
        <v>84</v>
      </c>
      <c r="B69" s="13">
        <v>23</v>
      </c>
      <c r="C69" s="15">
        <v>21.989892365263682</v>
      </c>
      <c r="D69" s="13">
        <v>0</v>
      </c>
      <c r="E69" s="13">
        <v>75.2</v>
      </c>
      <c r="F69" s="13">
        <v>36.799999999999997</v>
      </c>
      <c r="G69" s="14">
        <v>0</v>
      </c>
      <c r="H69" s="14">
        <v>12</v>
      </c>
      <c r="I69" s="14">
        <v>0</v>
      </c>
      <c r="J69" s="14">
        <f>K69+L69</f>
        <v>0</v>
      </c>
      <c r="K69" s="14">
        <v>0</v>
      </c>
      <c r="L69" s="14">
        <v>0</v>
      </c>
      <c r="M69" s="14">
        <v>0</v>
      </c>
      <c r="N69" s="14">
        <f>M69+L69+K69</f>
        <v>0</v>
      </c>
    </row>
    <row r="70" spans="1:14" x14ac:dyDescent="0.2">
      <c r="A70" s="13">
        <v>86</v>
      </c>
      <c r="B70" s="13">
        <v>26</v>
      </c>
      <c r="C70" s="15">
        <v>19.596458121643199</v>
      </c>
      <c r="D70" s="13">
        <v>0</v>
      </c>
      <c r="E70" s="13">
        <v>46.7</v>
      </c>
      <c r="F70" s="13" t="s">
        <v>7</v>
      </c>
      <c r="G70" s="14">
        <v>0</v>
      </c>
      <c r="H70" s="14">
        <v>14</v>
      </c>
      <c r="I70" s="14">
        <v>0</v>
      </c>
      <c r="J70" s="14">
        <f>K70+L70</f>
        <v>0</v>
      </c>
      <c r="K70" s="14">
        <v>0</v>
      </c>
      <c r="L70" s="14">
        <v>0</v>
      </c>
      <c r="M70" s="14">
        <v>0</v>
      </c>
      <c r="N70" s="14">
        <f>M70+L70+K70</f>
        <v>0</v>
      </c>
    </row>
    <row r="71" spans="1:14" x14ac:dyDescent="0.2">
      <c r="A71" s="13">
        <v>87</v>
      </c>
      <c r="B71" s="13">
        <v>28</v>
      </c>
      <c r="C71" s="15">
        <v>27.548209366391188</v>
      </c>
      <c r="D71" s="13">
        <v>0</v>
      </c>
      <c r="E71" s="13">
        <v>35</v>
      </c>
      <c r="F71" s="13" t="s">
        <v>7</v>
      </c>
      <c r="G71" s="14">
        <v>0</v>
      </c>
      <c r="H71" s="14">
        <v>12</v>
      </c>
      <c r="I71" s="14">
        <v>0</v>
      </c>
      <c r="J71" s="14">
        <f>K71+L71</f>
        <v>0</v>
      </c>
      <c r="K71" s="14">
        <v>0</v>
      </c>
      <c r="L71" s="14">
        <v>0</v>
      </c>
      <c r="M71" s="14">
        <v>0</v>
      </c>
      <c r="N71" s="14">
        <f>M71+L71+K71</f>
        <v>0</v>
      </c>
    </row>
    <row r="72" spans="1:14" x14ac:dyDescent="0.2">
      <c r="A72" s="13">
        <v>88</v>
      </c>
      <c r="B72" s="13">
        <v>27</v>
      </c>
      <c r="C72" s="15">
        <v>19.531249999999996</v>
      </c>
      <c r="D72" s="13">
        <v>0</v>
      </c>
      <c r="E72" s="13">
        <v>68.8</v>
      </c>
      <c r="F72" s="13" t="s">
        <v>7</v>
      </c>
      <c r="G72" s="14">
        <v>0</v>
      </c>
      <c r="H72" s="14">
        <v>13</v>
      </c>
      <c r="I72" s="14">
        <v>0</v>
      </c>
      <c r="J72" s="14">
        <f>K72+L72</f>
        <v>0</v>
      </c>
      <c r="K72" s="14">
        <v>0</v>
      </c>
      <c r="L72" s="14">
        <v>0</v>
      </c>
      <c r="M72" s="14">
        <v>0</v>
      </c>
      <c r="N72" s="14">
        <f>M72+L72+K72</f>
        <v>0</v>
      </c>
    </row>
    <row r="73" spans="1:14" x14ac:dyDescent="0.2">
      <c r="A73" s="13">
        <v>89</v>
      </c>
      <c r="B73" s="13">
        <v>33</v>
      </c>
      <c r="C73" s="15">
        <v>23.384353741496604</v>
      </c>
      <c r="D73" s="13">
        <v>0</v>
      </c>
      <c r="E73" s="13">
        <v>18.5</v>
      </c>
      <c r="F73" s="13" t="s">
        <v>7</v>
      </c>
      <c r="G73" s="14">
        <v>0</v>
      </c>
      <c r="H73" s="14">
        <v>12</v>
      </c>
      <c r="I73" s="14">
        <v>0</v>
      </c>
      <c r="J73" s="14">
        <f>K73+L73</f>
        <v>1</v>
      </c>
      <c r="K73" s="14">
        <v>1</v>
      </c>
      <c r="L73" s="14">
        <v>0</v>
      </c>
      <c r="M73" s="14">
        <v>1</v>
      </c>
      <c r="N73" s="14">
        <f>M73+L73+K73</f>
        <v>2</v>
      </c>
    </row>
    <row r="74" spans="1:14" x14ac:dyDescent="0.2">
      <c r="A74" s="13">
        <v>91</v>
      </c>
      <c r="B74" s="13">
        <v>33</v>
      </c>
      <c r="C74" s="15">
        <v>20.446742023841672</v>
      </c>
      <c r="D74" s="13">
        <v>0</v>
      </c>
      <c r="E74" s="13">
        <v>47.6</v>
      </c>
      <c r="F74" s="13" t="s">
        <v>7</v>
      </c>
      <c r="G74" s="14">
        <v>0</v>
      </c>
      <c r="H74" s="14">
        <v>13</v>
      </c>
      <c r="I74" s="14">
        <v>1</v>
      </c>
      <c r="J74" s="14">
        <f>K74+L74</f>
        <v>0</v>
      </c>
      <c r="K74" s="14">
        <v>0</v>
      </c>
      <c r="L74" s="14">
        <v>0</v>
      </c>
      <c r="M74" s="14">
        <v>0</v>
      </c>
      <c r="N74" s="14">
        <f>M74+L74+K74</f>
        <v>0</v>
      </c>
    </row>
    <row r="75" spans="1:14" x14ac:dyDescent="0.2">
      <c r="A75" s="13">
        <v>92</v>
      </c>
      <c r="B75" s="13">
        <v>31</v>
      </c>
      <c r="C75" s="15">
        <v>21.258503401360546</v>
      </c>
      <c r="D75" s="13">
        <v>0</v>
      </c>
      <c r="E75" s="13">
        <v>44.4</v>
      </c>
      <c r="F75" s="13" t="s">
        <v>7</v>
      </c>
      <c r="G75" s="14">
        <v>0</v>
      </c>
      <c r="H75" s="14">
        <v>13</v>
      </c>
      <c r="I75" s="14">
        <v>0</v>
      </c>
      <c r="J75" s="14">
        <f>K75+L75</f>
        <v>0</v>
      </c>
      <c r="K75" s="14">
        <v>0</v>
      </c>
      <c r="L75" s="14">
        <v>0</v>
      </c>
      <c r="M75" s="14">
        <v>0</v>
      </c>
      <c r="N75" s="14">
        <f>M75+L75+K75</f>
        <v>0</v>
      </c>
    </row>
    <row r="76" spans="1:14" x14ac:dyDescent="0.2">
      <c r="A76" s="13">
        <v>93</v>
      </c>
      <c r="B76" s="13">
        <v>23</v>
      </c>
      <c r="C76" s="15">
        <v>21.6712580348944</v>
      </c>
      <c r="D76" s="13">
        <v>0</v>
      </c>
      <c r="E76" s="13">
        <v>27.6</v>
      </c>
      <c r="F76" s="13" t="s">
        <v>7</v>
      </c>
      <c r="G76" s="14">
        <v>0</v>
      </c>
      <c r="H76" s="14">
        <v>12</v>
      </c>
      <c r="I76" s="14">
        <v>0</v>
      </c>
      <c r="J76" s="14">
        <f>K76+L76</f>
        <v>0</v>
      </c>
      <c r="K76" s="14">
        <v>0</v>
      </c>
      <c r="L76" s="14">
        <v>0</v>
      </c>
      <c r="M76" s="14">
        <v>0</v>
      </c>
      <c r="N76" s="14">
        <f>M76+L76+K76</f>
        <v>0</v>
      </c>
    </row>
    <row r="77" spans="1:14" x14ac:dyDescent="0.2">
      <c r="A77" s="13">
        <v>94</v>
      </c>
      <c r="B77" s="13">
        <v>26</v>
      </c>
      <c r="C77" s="15">
        <v>22.921822386303703</v>
      </c>
      <c r="D77" s="13">
        <v>0</v>
      </c>
      <c r="E77" s="13">
        <v>13</v>
      </c>
      <c r="F77" s="13" t="s">
        <v>7</v>
      </c>
      <c r="G77" s="14">
        <v>0</v>
      </c>
      <c r="H77" s="14">
        <v>11</v>
      </c>
      <c r="I77" s="14">
        <v>0</v>
      </c>
      <c r="J77" s="14">
        <f>K77+L77</f>
        <v>0</v>
      </c>
      <c r="K77" s="14">
        <v>0</v>
      </c>
      <c r="L77" s="14">
        <v>0</v>
      </c>
      <c r="M77" s="14">
        <v>0</v>
      </c>
      <c r="N77" s="14">
        <f>M77+L77+K77</f>
        <v>0</v>
      </c>
    </row>
    <row r="78" spans="1:14" x14ac:dyDescent="0.2">
      <c r="A78" s="13">
        <v>96</v>
      </c>
      <c r="B78" s="13">
        <v>29</v>
      </c>
      <c r="C78" s="15">
        <v>19.531249999999996</v>
      </c>
      <c r="D78" s="13">
        <v>1</v>
      </c>
      <c r="E78" s="13">
        <v>33.6</v>
      </c>
      <c r="F78" s="13" t="s">
        <v>7</v>
      </c>
      <c r="G78" s="14">
        <v>0</v>
      </c>
      <c r="H78" s="14">
        <v>13</v>
      </c>
      <c r="I78" s="14">
        <v>0</v>
      </c>
      <c r="J78" s="14">
        <f>K78+L78</f>
        <v>0</v>
      </c>
      <c r="K78" s="14">
        <v>0</v>
      </c>
      <c r="L78" s="14">
        <v>0</v>
      </c>
      <c r="M78" s="14">
        <v>0</v>
      </c>
      <c r="N78" s="14">
        <f>M78+L78+K78</f>
        <v>0</v>
      </c>
    </row>
    <row r="79" spans="1:14" x14ac:dyDescent="0.2">
      <c r="A79" s="13">
        <v>97</v>
      </c>
      <c r="B79" s="13">
        <v>33</v>
      </c>
      <c r="C79" s="15">
        <v>20.253848231163918</v>
      </c>
      <c r="D79" s="13">
        <v>1</v>
      </c>
      <c r="E79" s="13">
        <v>41.1</v>
      </c>
      <c r="F79" s="13" t="s">
        <v>7</v>
      </c>
      <c r="G79" s="14">
        <v>0</v>
      </c>
      <c r="H79" s="14">
        <v>13</v>
      </c>
      <c r="I79" s="14">
        <v>0</v>
      </c>
      <c r="J79" s="14">
        <f>K79+L79</f>
        <v>0</v>
      </c>
      <c r="K79" s="14">
        <v>0</v>
      </c>
      <c r="L79" s="14">
        <v>0</v>
      </c>
      <c r="M79" s="14">
        <v>0</v>
      </c>
      <c r="N79" s="14">
        <f>M79+L79+K79</f>
        <v>0</v>
      </c>
    </row>
    <row r="80" spans="1:14" x14ac:dyDescent="0.2">
      <c r="A80" s="13">
        <v>98</v>
      </c>
      <c r="B80" s="13">
        <v>30</v>
      </c>
      <c r="C80" s="15">
        <v>20.415224913494811</v>
      </c>
      <c r="D80" s="13">
        <v>0</v>
      </c>
      <c r="E80" s="13">
        <v>57.2</v>
      </c>
      <c r="F80" s="13" t="s">
        <v>7</v>
      </c>
      <c r="G80" s="14">
        <v>0</v>
      </c>
      <c r="H80" s="14">
        <v>13</v>
      </c>
      <c r="I80" s="14">
        <v>0</v>
      </c>
      <c r="J80" s="14">
        <f>K80+L80</f>
        <v>0</v>
      </c>
      <c r="K80" s="14">
        <v>0</v>
      </c>
      <c r="L80" s="14">
        <v>0</v>
      </c>
      <c r="M80" s="14">
        <v>0</v>
      </c>
      <c r="N80" s="14">
        <f>M80+L80+K80</f>
        <v>0</v>
      </c>
    </row>
    <row r="81" spans="1:14" x14ac:dyDescent="0.2">
      <c r="A81" s="13">
        <v>99</v>
      </c>
      <c r="B81" s="13">
        <v>34</v>
      </c>
      <c r="C81" s="15">
        <v>16.873266731263993</v>
      </c>
      <c r="D81" s="13">
        <v>0</v>
      </c>
      <c r="E81" s="13">
        <v>4.8</v>
      </c>
      <c r="F81" s="13" t="s">
        <v>7</v>
      </c>
      <c r="G81" s="14">
        <v>0</v>
      </c>
      <c r="H81" s="14">
        <v>14</v>
      </c>
      <c r="I81" s="14">
        <v>0</v>
      </c>
      <c r="J81" s="14">
        <f>K81+L81</f>
        <v>0</v>
      </c>
      <c r="K81" s="14">
        <v>0</v>
      </c>
      <c r="L81" s="14">
        <v>0</v>
      </c>
      <c r="M81" s="14">
        <v>0</v>
      </c>
      <c r="N81" s="14">
        <f>M81+L81+K81</f>
        <v>0</v>
      </c>
    </row>
    <row r="82" spans="1:14" x14ac:dyDescent="0.2">
      <c r="A82" s="13">
        <v>101</v>
      </c>
      <c r="B82" s="13">
        <v>47</v>
      </c>
      <c r="C82" s="15">
        <v>24.238227146814403</v>
      </c>
      <c r="D82" s="13">
        <v>0</v>
      </c>
      <c r="E82" s="13">
        <v>14.1</v>
      </c>
      <c r="F82" s="13">
        <v>45.7</v>
      </c>
      <c r="G82" s="14">
        <v>0</v>
      </c>
      <c r="H82" s="14">
        <v>13</v>
      </c>
      <c r="I82" s="14">
        <v>0</v>
      </c>
      <c r="J82" s="14">
        <f>K82+L82</f>
        <v>1</v>
      </c>
      <c r="K82" s="14">
        <v>0</v>
      </c>
      <c r="L82" s="14">
        <v>1</v>
      </c>
      <c r="M82" s="14">
        <v>2</v>
      </c>
      <c r="N82" s="14">
        <f>M82+L82+K82</f>
        <v>3</v>
      </c>
    </row>
    <row r="83" spans="1:14" x14ac:dyDescent="0.2">
      <c r="A83" s="13">
        <v>102</v>
      </c>
      <c r="B83" s="13">
        <v>29</v>
      </c>
      <c r="C83" s="15">
        <v>22.308149910767405</v>
      </c>
      <c r="D83" s="13">
        <v>0</v>
      </c>
      <c r="E83" s="13">
        <v>81.7</v>
      </c>
      <c r="F83" s="13" t="s">
        <v>7</v>
      </c>
      <c r="G83" s="14">
        <v>0</v>
      </c>
      <c r="H83" s="14">
        <v>13</v>
      </c>
      <c r="I83" s="14">
        <v>0</v>
      </c>
      <c r="J83" s="14">
        <f>K83+L83</f>
        <v>0</v>
      </c>
      <c r="K83" s="14">
        <v>0</v>
      </c>
      <c r="L83" s="14">
        <v>0</v>
      </c>
      <c r="M83" s="14">
        <v>0</v>
      </c>
      <c r="N83" s="14">
        <f>M83+L83+K83</f>
        <v>0</v>
      </c>
    </row>
    <row r="84" spans="1:14" x14ac:dyDescent="0.2">
      <c r="A84" s="13">
        <v>103</v>
      </c>
      <c r="B84" s="13">
        <v>32</v>
      </c>
      <c r="C84" s="15">
        <v>23.124670372023203</v>
      </c>
      <c r="D84" s="13">
        <v>0</v>
      </c>
      <c r="E84" s="13">
        <v>22.5</v>
      </c>
      <c r="F84" s="13" t="s">
        <v>7</v>
      </c>
      <c r="G84" s="14">
        <v>0</v>
      </c>
      <c r="H84" s="14">
        <v>12</v>
      </c>
      <c r="I84" s="14">
        <v>0</v>
      </c>
      <c r="J84" s="14">
        <f>K84+L84</f>
        <v>1</v>
      </c>
      <c r="K84" s="14">
        <v>1</v>
      </c>
      <c r="L84" s="14">
        <v>0</v>
      </c>
      <c r="M84" s="14">
        <v>0</v>
      </c>
      <c r="N84" s="14">
        <f>M84+L84+K84</f>
        <v>1</v>
      </c>
    </row>
    <row r="85" spans="1:14" x14ac:dyDescent="0.2">
      <c r="A85" s="13">
        <v>104</v>
      </c>
      <c r="B85" s="13">
        <v>43</v>
      </c>
      <c r="C85" s="15">
        <v>30.297783933518005</v>
      </c>
      <c r="D85" s="13">
        <v>0</v>
      </c>
      <c r="E85" s="13">
        <v>33.799999999999997</v>
      </c>
      <c r="F85" s="13">
        <v>30.6</v>
      </c>
      <c r="G85" s="14">
        <v>0</v>
      </c>
      <c r="H85" s="14">
        <v>13</v>
      </c>
      <c r="I85" s="14">
        <v>0</v>
      </c>
      <c r="J85" s="14">
        <f>K85+L85</f>
        <v>1</v>
      </c>
      <c r="K85" s="14">
        <v>1</v>
      </c>
      <c r="L85" s="14">
        <v>0</v>
      </c>
      <c r="M85" s="14">
        <v>3</v>
      </c>
      <c r="N85" s="14">
        <f>M85+L85+K85</f>
        <v>4</v>
      </c>
    </row>
    <row r="86" spans="1:14" x14ac:dyDescent="0.2">
      <c r="A86" s="13">
        <v>106</v>
      </c>
      <c r="B86" s="13">
        <v>45</v>
      </c>
      <c r="C86" s="15">
        <v>18.870663376397157</v>
      </c>
      <c r="D86" s="13">
        <v>0</v>
      </c>
      <c r="E86" s="13">
        <v>20.3</v>
      </c>
      <c r="F86" s="13">
        <v>38.5</v>
      </c>
      <c r="G86" s="14">
        <v>0</v>
      </c>
      <c r="H86" s="14">
        <v>13</v>
      </c>
      <c r="I86" s="14">
        <v>1</v>
      </c>
      <c r="J86" s="14">
        <f>K86+L86</f>
        <v>1</v>
      </c>
      <c r="K86" s="14">
        <v>1</v>
      </c>
      <c r="L86" s="14">
        <v>0</v>
      </c>
      <c r="M86" s="14">
        <v>2</v>
      </c>
      <c r="N86" s="14">
        <f>M86+L86+K86</f>
        <v>3</v>
      </c>
    </row>
    <row r="87" spans="1:14" x14ac:dyDescent="0.2">
      <c r="A87" s="13">
        <v>107</v>
      </c>
      <c r="B87" s="13">
        <v>45</v>
      </c>
      <c r="C87" s="15">
        <v>24.464601603372351</v>
      </c>
      <c r="D87" s="13">
        <v>0</v>
      </c>
      <c r="E87" s="13">
        <v>215.9</v>
      </c>
      <c r="F87" s="13">
        <v>33.4</v>
      </c>
      <c r="G87" s="14">
        <v>0</v>
      </c>
      <c r="H87" s="14">
        <v>13</v>
      </c>
      <c r="I87" s="14">
        <v>0</v>
      </c>
      <c r="J87" s="14">
        <f>K87+L87</f>
        <v>0</v>
      </c>
      <c r="K87" s="14">
        <v>0</v>
      </c>
      <c r="L87" s="14">
        <v>0</v>
      </c>
      <c r="M87" s="14">
        <v>1</v>
      </c>
      <c r="N87" s="14">
        <f>M87+L87+K87</f>
        <v>1</v>
      </c>
    </row>
    <row r="88" spans="1:14" x14ac:dyDescent="0.2">
      <c r="A88" s="13">
        <v>108</v>
      </c>
      <c r="B88" s="13">
        <v>29</v>
      </c>
      <c r="C88" s="15">
        <v>21.829952199932254</v>
      </c>
      <c r="D88" s="13">
        <v>0</v>
      </c>
      <c r="E88" s="13">
        <v>14.1</v>
      </c>
      <c r="F88" s="13">
        <v>22.7</v>
      </c>
      <c r="G88" s="14">
        <v>0</v>
      </c>
      <c r="H88" s="14">
        <v>12</v>
      </c>
      <c r="I88" s="14">
        <v>0</v>
      </c>
      <c r="J88" s="14">
        <f>K88+L88</f>
        <v>0</v>
      </c>
      <c r="K88" s="14">
        <v>0</v>
      </c>
      <c r="L88" s="14">
        <v>0</v>
      </c>
      <c r="M88" s="14">
        <v>0</v>
      </c>
      <c r="N88" s="14">
        <f>M88+L88+K88</f>
        <v>0</v>
      </c>
    </row>
    <row r="89" spans="1:14" x14ac:dyDescent="0.2">
      <c r="A89" s="13">
        <v>109</v>
      </c>
      <c r="B89" s="13">
        <v>33</v>
      </c>
      <c r="C89" s="15">
        <v>20.069204152249139</v>
      </c>
      <c r="D89" s="13">
        <v>0</v>
      </c>
      <c r="E89" s="13">
        <v>116.6</v>
      </c>
      <c r="F89" s="13" t="s">
        <v>7</v>
      </c>
      <c r="G89" s="14">
        <v>0</v>
      </c>
      <c r="H89" s="14">
        <v>13</v>
      </c>
      <c r="I89" s="14">
        <v>0</v>
      </c>
      <c r="J89" s="14">
        <f>K89+L89</f>
        <v>2</v>
      </c>
      <c r="K89" s="14">
        <v>2</v>
      </c>
      <c r="L89" s="14">
        <v>0</v>
      </c>
      <c r="M89" s="14">
        <v>0</v>
      </c>
      <c r="N89" s="14">
        <f>M89+L89+K89</f>
        <v>2</v>
      </c>
    </row>
    <row r="90" spans="1:14" x14ac:dyDescent="0.2">
      <c r="A90" s="13">
        <v>111</v>
      </c>
      <c r="B90" s="13">
        <v>51</v>
      </c>
      <c r="C90" s="15">
        <v>20.028841531805796</v>
      </c>
      <c r="D90" s="13">
        <v>0</v>
      </c>
      <c r="E90" s="13">
        <v>11.3</v>
      </c>
      <c r="F90" s="13">
        <v>43.7</v>
      </c>
      <c r="G90" s="14">
        <v>0</v>
      </c>
      <c r="H90" s="14">
        <v>12</v>
      </c>
      <c r="I90" s="14">
        <v>0</v>
      </c>
      <c r="J90" s="14">
        <f>K90+L90</f>
        <v>2</v>
      </c>
      <c r="K90" s="14">
        <v>1</v>
      </c>
      <c r="L90" s="14">
        <v>1</v>
      </c>
      <c r="M90" s="14">
        <v>2</v>
      </c>
      <c r="N90" s="14">
        <f>M90+L90+K90</f>
        <v>4</v>
      </c>
    </row>
    <row r="91" spans="1:14" x14ac:dyDescent="0.2">
      <c r="A91" s="13">
        <v>112</v>
      </c>
      <c r="B91" s="13">
        <v>30</v>
      </c>
      <c r="C91" s="15">
        <v>17.065556711758582</v>
      </c>
      <c r="D91" s="13">
        <v>0</v>
      </c>
      <c r="E91" s="13">
        <v>24</v>
      </c>
      <c r="F91" s="13" t="s">
        <v>7</v>
      </c>
      <c r="G91" s="14">
        <v>0</v>
      </c>
      <c r="H91" s="14">
        <v>12</v>
      </c>
      <c r="I91" s="14">
        <v>0</v>
      </c>
      <c r="J91" s="14">
        <f>K91+L91</f>
        <v>0</v>
      </c>
      <c r="K91" s="14">
        <v>0</v>
      </c>
      <c r="L91" s="14">
        <v>0</v>
      </c>
      <c r="M91" s="14">
        <v>0</v>
      </c>
      <c r="N91" s="14">
        <f>M91+L91+K91</f>
        <v>0</v>
      </c>
    </row>
    <row r="92" spans="1:14" x14ac:dyDescent="0.2">
      <c r="A92" s="13">
        <v>113</v>
      </c>
      <c r="B92" s="13">
        <v>44</v>
      </c>
      <c r="C92" s="15">
        <v>21.641274238227147</v>
      </c>
      <c r="D92" s="13">
        <v>0</v>
      </c>
      <c r="E92" s="13">
        <v>21.5</v>
      </c>
      <c r="F92" s="13" t="s">
        <v>7</v>
      </c>
      <c r="G92" s="14">
        <v>0</v>
      </c>
      <c r="H92" s="14">
        <v>14</v>
      </c>
      <c r="I92" s="14">
        <v>0</v>
      </c>
      <c r="J92" s="14">
        <f>K92+L92</f>
        <v>1</v>
      </c>
      <c r="K92" s="14">
        <v>0</v>
      </c>
      <c r="L92" s="14">
        <v>1</v>
      </c>
      <c r="M92" s="14">
        <v>6</v>
      </c>
      <c r="N92" s="14">
        <f>M92+L92+K92</f>
        <v>7</v>
      </c>
    </row>
    <row r="93" spans="1:14" x14ac:dyDescent="0.2">
      <c r="A93" s="13">
        <v>114</v>
      </c>
      <c r="B93" s="13">
        <v>40</v>
      </c>
      <c r="C93" s="15">
        <v>23.011176857330703</v>
      </c>
      <c r="D93" s="13">
        <v>0</v>
      </c>
      <c r="E93" s="13">
        <v>22.3</v>
      </c>
      <c r="F93" s="13">
        <v>25.6</v>
      </c>
      <c r="G93" s="14">
        <v>0</v>
      </c>
      <c r="H93" s="14">
        <v>12</v>
      </c>
      <c r="I93" s="14">
        <v>0</v>
      </c>
      <c r="J93" s="14">
        <f>K93+L93</f>
        <v>1</v>
      </c>
      <c r="K93" s="14">
        <v>1</v>
      </c>
      <c r="L93" s="14">
        <v>0</v>
      </c>
      <c r="M93" s="14">
        <v>5</v>
      </c>
      <c r="N93" s="14">
        <f>M93+L93+K93</f>
        <v>6</v>
      </c>
    </row>
    <row r="94" spans="1:14" x14ac:dyDescent="0.2">
      <c r="A94" s="13">
        <v>116</v>
      </c>
      <c r="B94" s="13">
        <v>41</v>
      </c>
      <c r="C94" s="15">
        <v>25.355998214937724</v>
      </c>
      <c r="D94" s="13">
        <v>0</v>
      </c>
      <c r="E94" s="13">
        <v>28.2</v>
      </c>
      <c r="F94" s="13">
        <v>28.3</v>
      </c>
      <c r="G94" s="14">
        <v>0</v>
      </c>
      <c r="H94" s="14">
        <v>12</v>
      </c>
      <c r="I94" s="14">
        <v>0</v>
      </c>
      <c r="J94" s="14">
        <f>K94+L94</f>
        <v>1</v>
      </c>
      <c r="K94" s="14">
        <v>0</v>
      </c>
      <c r="L94" s="14">
        <v>1</v>
      </c>
      <c r="M94" s="14">
        <v>3</v>
      </c>
      <c r="N94" s="14">
        <f>M94+L94+K94</f>
        <v>4</v>
      </c>
    </row>
    <row r="95" spans="1:14" x14ac:dyDescent="0.2">
      <c r="A95" s="13">
        <v>117</v>
      </c>
      <c r="B95" s="13">
        <v>42</v>
      </c>
      <c r="C95" s="15">
        <v>24.034609838166958</v>
      </c>
      <c r="D95" s="13">
        <v>0</v>
      </c>
      <c r="E95" s="13">
        <v>55.2</v>
      </c>
      <c r="F95" s="13" t="s">
        <v>7</v>
      </c>
      <c r="G95" s="14">
        <v>0</v>
      </c>
      <c r="H95" s="14">
        <v>12</v>
      </c>
      <c r="I95" s="14">
        <v>0</v>
      </c>
      <c r="J95" s="14">
        <f>K95+L95</f>
        <v>1</v>
      </c>
      <c r="K95" s="14">
        <v>0</v>
      </c>
      <c r="L95" s="14">
        <v>1</v>
      </c>
      <c r="M95" s="14">
        <v>2</v>
      </c>
      <c r="N95" s="14">
        <f>M95+L95+K95</f>
        <v>3</v>
      </c>
    </row>
    <row r="96" spans="1:14" x14ac:dyDescent="0.2">
      <c r="A96" s="13">
        <v>118</v>
      </c>
      <c r="B96" s="13">
        <v>29</v>
      </c>
      <c r="C96" s="15">
        <v>18.778344671201818</v>
      </c>
      <c r="D96" s="13">
        <v>0</v>
      </c>
      <c r="E96" s="13">
        <v>16</v>
      </c>
      <c r="F96" s="13" t="s">
        <v>7</v>
      </c>
      <c r="G96" s="14">
        <v>0</v>
      </c>
      <c r="H96" s="14">
        <v>13</v>
      </c>
      <c r="I96" s="14">
        <v>0</v>
      </c>
      <c r="J96" s="14">
        <f>K96+L96</f>
        <v>1</v>
      </c>
      <c r="K96" s="14">
        <v>0</v>
      </c>
      <c r="L96" s="14">
        <v>1</v>
      </c>
      <c r="M96" s="14">
        <v>1</v>
      </c>
      <c r="N96" s="14">
        <f>M96+L96+K96</f>
        <v>2</v>
      </c>
    </row>
    <row r="97" spans="1:14" x14ac:dyDescent="0.2">
      <c r="A97" s="13">
        <v>119</v>
      </c>
      <c r="B97" s="13">
        <v>33</v>
      </c>
      <c r="C97" s="15">
        <v>22.222222222222221</v>
      </c>
      <c r="D97" s="13">
        <v>0</v>
      </c>
      <c r="E97" s="13">
        <v>15.5</v>
      </c>
      <c r="F97" s="13" t="s">
        <v>7</v>
      </c>
      <c r="G97" s="14">
        <v>0</v>
      </c>
      <c r="H97" s="14">
        <v>12</v>
      </c>
      <c r="I97" s="14">
        <v>0</v>
      </c>
      <c r="J97" s="14">
        <f>K97+L97</f>
        <v>0</v>
      </c>
      <c r="K97" s="14">
        <v>0</v>
      </c>
      <c r="L97" s="14">
        <v>0</v>
      </c>
      <c r="M97" s="14">
        <v>1</v>
      </c>
      <c r="N97" s="14">
        <f>M97+L97+K97</f>
        <v>1</v>
      </c>
    </row>
    <row r="98" spans="1:14" x14ac:dyDescent="0.2">
      <c r="A98" s="13">
        <v>121</v>
      </c>
      <c r="B98" s="13">
        <v>43</v>
      </c>
      <c r="C98" s="15">
        <v>20.824656393169516</v>
      </c>
      <c r="D98" s="13">
        <v>0</v>
      </c>
      <c r="E98" s="13">
        <v>260.2</v>
      </c>
      <c r="F98" s="13" t="s">
        <v>7</v>
      </c>
      <c r="G98" s="14">
        <v>0</v>
      </c>
      <c r="H98" s="14">
        <v>13</v>
      </c>
      <c r="I98" s="14">
        <v>0</v>
      </c>
      <c r="J98" s="14">
        <f>K98+L98</f>
        <v>1</v>
      </c>
      <c r="K98" s="14">
        <v>1</v>
      </c>
      <c r="L98" s="14">
        <v>0</v>
      </c>
      <c r="M98" s="14">
        <v>1</v>
      </c>
      <c r="N98" s="14">
        <f>M98+L98+K98</f>
        <v>2</v>
      </c>
    </row>
    <row r="99" spans="1:14" x14ac:dyDescent="0.2">
      <c r="A99" s="13">
        <v>122</v>
      </c>
      <c r="B99" s="13">
        <v>31</v>
      </c>
      <c r="C99" s="15">
        <v>18.818924310286427</v>
      </c>
      <c r="D99" s="13">
        <v>0</v>
      </c>
      <c r="E99" s="13">
        <v>55.2</v>
      </c>
      <c r="F99" s="13" t="s">
        <v>7</v>
      </c>
      <c r="G99" s="14">
        <v>0</v>
      </c>
      <c r="H99" s="14">
        <v>12</v>
      </c>
      <c r="I99" s="14">
        <v>0</v>
      </c>
      <c r="J99" s="14">
        <f>K99+L99</f>
        <v>0</v>
      </c>
      <c r="K99" s="14">
        <v>0</v>
      </c>
      <c r="L99" s="14">
        <v>0</v>
      </c>
      <c r="M99" s="14">
        <v>0</v>
      </c>
      <c r="N99" s="14">
        <f>M99+L99+K99</f>
        <v>0</v>
      </c>
    </row>
    <row r="100" spans="1:14" x14ac:dyDescent="0.2">
      <c r="A100" s="13">
        <v>123</v>
      </c>
      <c r="B100" s="13">
        <v>37</v>
      </c>
      <c r="C100" s="15">
        <v>24.767565919829291</v>
      </c>
      <c r="D100" s="13">
        <v>0</v>
      </c>
      <c r="E100" s="13">
        <v>142.9</v>
      </c>
      <c r="F100" s="13" t="s">
        <v>7</v>
      </c>
      <c r="G100" s="14">
        <v>0</v>
      </c>
      <c r="H100" s="14">
        <v>13</v>
      </c>
      <c r="I100" s="14">
        <v>0</v>
      </c>
      <c r="J100" s="14">
        <f>K100+L100</f>
        <v>2</v>
      </c>
      <c r="K100" s="14">
        <v>0</v>
      </c>
      <c r="L100" s="14">
        <v>2</v>
      </c>
      <c r="M100" s="14">
        <v>0</v>
      </c>
      <c r="N100" s="14">
        <f>M100+L100+K100</f>
        <v>2</v>
      </c>
    </row>
    <row r="101" spans="1:14" x14ac:dyDescent="0.2">
      <c r="A101" s="13">
        <v>124</v>
      </c>
      <c r="B101" s="13">
        <v>28</v>
      </c>
      <c r="C101" s="15">
        <v>18.339100346020764</v>
      </c>
      <c r="D101" s="13">
        <v>0</v>
      </c>
      <c r="E101" s="13">
        <v>33.5</v>
      </c>
      <c r="F101" s="13" t="s">
        <v>7</v>
      </c>
      <c r="G101" s="14">
        <v>1</v>
      </c>
      <c r="H101" s="14">
        <v>14</v>
      </c>
      <c r="I101" s="14">
        <v>0</v>
      </c>
      <c r="J101" s="14">
        <f>K101+L101</f>
        <v>1</v>
      </c>
      <c r="K101" s="14">
        <v>1</v>
      </c>
      <c r="L101" s="14">
        <v>0</v>
      </c>
      <c r="M101" s="14">
        <v>1</v>
      </c>
      <c r="N101" s="14">
        <f>M101+L101+K101</f>
        <v>2</v>
      </c>
    </row>
    <row r="102" spans="1:14" x14ac:dyDescent="0.2">
      <c r="A102" s="13">
        <v>126</v>
      </c>
      <c r="B102" s="13">
        <v>42</v>
      </c>
      <c r="C102" s="15">
        <v>23.828124999999996</v>
      </c>
      <c r="D102" s="13">
        <v>0</v>
      </c>
      <c r="E102" s="13">
        <v>29.1</v>
      </c>
      <c r="F102" s="13" t="s">
        <v>7</v>
      </c>
      <c r="G102" s="14">
        <v>0</v>
      </c>
      <c r="H102" s="14">
        <v>13</v>
      </c>
      <c r="I102" s="14">
        <v>0</v>
      </c>
      <c r="J102" s="14">
        <f>K102+L102</f>
        <v>0</v>
      </c>
      <c r="K102" s="14">
        <v>0</v>
      </c>
      <c r="L102" s="14">
        <v>0</v>
      </c>
      <c r="M102" s="14">
        <v>0</v>
      </c>
      <c r="N102" s="14">
        <f>M102+L102+K102</f>
        <v>0</v>
      </c>
    </row>
    <row r="103" spans="1:14" x14ac:dyDescent="0.2">
      <c r="A103" s="13">
        <v>127</v>
      </c>
      <c r="B103" s="13">
        <v>32</v>
      </c>
      <c r="C103" s="15">
        <v>21.230572023714146</v>
      </c>
      <c r="D103" s="13">
        <v>0</v>
      </c>
      <c r="E103" s="13">
        <v>14.6</v>
      </c>
      <c r="F103" s="13" t="s">
        <v>7</v>
      </c>
      <c r="G103" s="14">
        <v>0</v>
      </c>
      <c r="H103" s="14">
        <v>10</v>
      </c>
      <c r="I103" s="14">
        <v>0</v>
      </c>
      <c r="J103" s="14">
        <f>K103+L103</f>
        <v>1</v>
      </c>
      <c r="K103" s="14">
        <v>0</v>
      </c>
      <c r="L103" s="14">
        <v>1</v>
      </c>
      <c r="M103" s="14">
        <v>0</v>
      </c>
      <c r="N103" s="14">
        <f>M103+L103+K103</f>
        <v>1</v>
      </c>
    </row>
    <row r="104" spans="1:14" x14ac:dyDescent="0.2">
      <c r="A104" s="13">
        <v>128</v>
      </c>
      <c r="B104" s="13">
        <v>37</v>
      </c>
      <c r="C104" s="15">
        <v>20.82999519307803</v>
      </c>
      <c r="D104" s="13">
        <v>0</v>
      </c>
      <c r="E104" s="13">
        <v>60.6</v>
      </c>
      <c r="F104" s="13" t="s">
        <v>7</v>
      </c>
      <c r="G104" s="14">
        <v>0</v>
      </c>
      <c r="H104" s="14">
        <v>11</v>
      </c>
      <c r="I104" s="14">
        <v>0</v>
      </c>
      <c r="J104" s="14">
        <f>K104+L104</f>
        <v>0</v>
      </c>
      <c r="K104" s="14">
        <v>0</v>
      </c>
      <c r="L104" s="14">
        <v>0</v>
      </c>
      <c r="M104" s="14">
        <v>0</v>
      </c>
      <c r="N104" s="14">
        <f>M104+L104+K104</f>
        <v>0</v>
      </c>
    </row>
    <row r="105" spans="1:14" x14ac:dyDescent="0.2">
      <c r="A105" s="13">
        <v>129</v>
      </c>
      <c r="B105" s="13">
        <v>34</v>
      </c>
      <c r="C105" s="15">
        <v>21.528730376466999</v>
      </c>
      <c r="D105" s="13">
        <v>0</v>
      </c>
      <c r="E105" s="13">
        <v>24.5</v>
      </c>
      <c r="F105" s="13" t="s">
        <v>7</v>
      </c>
      <c r="G105" s="14">
        <v>0</v>
      </c>
      <c r="H105" s="14">
        <v>13</v>
      </c>
      <c r="I105" s="14">
        <v>0</v>
      </c>
      <c r="J105" s="14">
        <f>K105+L105</f>
        <v>1</v>
      </c>
      <c r="K105" s="14">
        <v>1</v>
      </c>
      <c r="L105" s="14">
        <v>0</v>
      </c>
      <c r="M105" s="14">
        <v>1</v>
      </c>
      <c r="N105" s="14">
        <f>M105+L105+K105</f>
        <v>2</v>
      </c>
    </row>
    <row r="106" spans="1:14" x14ac:dyDescent="0.2">
      <c r="A106" s="13">
        <v>131</v>
      </c>
      <c r="B106" s="13">
        <v>38</v>
      </c>
      <c r="C106" s="15">
        <v>19.151191819705211</v>
      </c>
      <c r="D106" s="13">
        <v>0</v>
      </c>
      <c r="E106" s="13">
        <v>39</v>
      </c>
      <c r="F106" s="13" t="s">
        <v>7</v>
      </c>
      <c r="G106" s="14">
        <v>0</v>
      </c>
      <c r="H106" s="14">
        <v>14</v>
      </c>
      <c r="I106" s="14">
        <v>0</v>
      </c>
      <c r="J106" s="14">
        <f>K106+L106</f>
        <v>0</v>
      </c>
      <c r="K106" s="14">
        <v>0</v>
      </c>
      <c r="L106" s="14">
        <v>0</v>
      </c>
      <c r="M106" s="14">
        <v>0</v>
      </c>
      <c r="N106" s="14">
        <f>M106+L106+K106</f>
        <v>0</v>
      </c>
    </row>
    <row r="107" spans="1:14" x14ac:dyDescent="0.2">
      <c r="A107" s="13">
        <v>132</v>
      </c>
      <c r="B107" s="13">
        <v>27</v>
      </c>
      <c r="C107" s="15">
        <v>20.685150239512268</v>
      </c>
      <c r="D107" s="13">
        <v>0</v>
      </c>
      <c r="E107" s="13">
        <v>47</v>
      </c>
      <c r="F107" s="13" t="s">
        <v>7</v>
      </c>
      <c r="G107" s="14">
        <v>0</v>
      </c>
      <c r="H107" s="14">
        <v>13</v>
      </c>
      <c r="I107" s="14">
        <v>0</v>
      </c>
      <c r="J107" s="14">
        <f>K107+L107</f>
        <v>1</v>
      </c>
      <c r="K107" s="14">
        <v>0</v>
      </c>
      <c r="L107" s="14">
        <v>1</v>
      </c>
      <c r="M107" s="14">
        <v>0</v>
      </c>
      <c r="N107" s="14">
        <f>M107+L107+K107</f>
        <v>1</v>
      </c>
    </row>
    <row r="108" spans="1:14" x14ac:dyDescent="0.2">
      <c r="A108" s="13">
        <v>133</v>
      </c>
      <c r="B108" s="13">
        <v>31</v>
      </c>
      <c r="C108" s="15">
        <v>19.77769866698311</v>
      </c>
      <c r="D108" s="13">
        <v>0</v>
      </c>
      <c r="E108" s="13">
        <v>23.6</v>
      </c>
      <c r="F108" s="13" t="s">
        <v>7</v>
      </c>
      <c r="G108" s="14">
        <v>0</v>
      </c>
      <c r="H108" s="14">
        <v>15</v>
      </c>
      <c r="I108" s="14">
        <v>0</v>
      </c>
      <c r="J108" s="14">
        <f>K108+L108</f>
        <v>1</v>
      </c>
      <c r="K108" s="14">
        <v>0</v>
      </c>
      <c r="L108" s="14">
        <v>1</v>
      </c>
      <c r="M108" s="14">
        <v>0</v>
      </c>
      <c r="N108" s="14">
        <f>M108+L108+K108</f>
        <v>1</v>
      </c>
    </row>
    <row r="109" spans="1:14" x14ac:dyDescent="0.2">
      <c r="A109" s="13">
        <v>134</v>
      </c>
      <c r="B109" s="13">
        <v>45</v>
      </c>
      <c r="C109" s="15">
        <v>20.39542143600416</v>
      </c>
      <c r="D109" s="13">
        <v>0</v>
      </c>
      <c r="E109" s="13">
        <v>43</v>
      </c>
      <c r="F109" s="13" t="s">
        <v>7</v>
      </c>
      <c r="G109" s="14">
        <v>0</v>
      </c>
      <c r="H109" s="14">
        <v>13</v>
      </c>
      <c r="I109" s="14">
        <v>0</v>
      </c>
      <c r="J109" s="14">
        <f>K109+L109</f>
        <v>2</v>
      </c>
      <c r="K109" s="14">
        <v>2</v>
      </c>
      <c r="L109" s="14">
        <v>0</v>
      </c>
      <c r="M109" s="14">
        <v>0</v>
      </c>
      <c r="N109" s="14">
        <f>M109+L109+K109</f>
        <v>2</v>
      </c>
    </row>
    <row r="110" spans="1:14" x14ac:dyDescent="0.2">
      <c r="A110" s="13">
        <v>136</v>
      </c>
      <c r="B110" s="13">
        <v>52</v>
      </c>
      <c r="C110" s="15">
        <v>26.835180055401661</v>
      </c>
      <c r="D110" s="13">
        <v>0</v>
      </c>
      <c r="E110" s="13">
        <v>46.2</v>
      </c>
      <c r="F110" s="13" t="s">
        <v>7</v>
      </c>
      <c r="G110" s="14">
        <v>0</v>
      </c>
      <c r="H110" s="14">
        <v>12</v>
      </c>
      <c r="I110" s="14">
        <v>0</v>
      </c>
      <c r="J110" s="14">
        <f>K110+L110</f>
        <v>1</v>
      </c>
      <c r="K110" s="14">
        <v>0</v>
      </c>
      <c r="L110" s="14">
        <v>1</v>
      </c>
      <c r="M110" s="14">
        <v>0</v>
      </c>
      <c r="N110" s="14">
        <f>M110+L110+K110</f>
        <v>1</v>
      </c>
    </row>
    <row r="111" spans="1:14" x14ac:dyDescent="0.2">
      <c r="A111" s="13">
        <v>137</v>
      </c>
      <c r="B111" s="13">
        <v>34</v>
      </c>
      <c r="C111" s="15">
        <v>22.656249999999996</v>
      </c>
      <c r="D111" s="13">
        <v>1</v>
      </c>
      <c r="E111" s="13">
        <v>26.3</v>
      </c>
      <c r="F111" s="13" t="s">
        <v>7</v>
      </c>
      <c r="G111" s="14">
        <v>1</v>
      </c>
      <c r="H111" s="14">
        <v>12</v>
      </c>
      <c r="I111" s="14">
        <v>0</v>
      </c>
      <c r="J111" s="14">
        <f>K111+L111</f>
        <v>0</v>
      </c>
      <c r="K111" s="14">
        <v>0</v>
      </c>
      <c r="L111" s="14">
        <v>0</v>
      </c>
      <c r="M111" s="14">
        <v>0</v>
      </c>
      <c r="N111" s="14">
        <f>M111+L111+K111</f>
        <v>0</v>
      </c>
    </row>
    <row r="112" spans="1:14" x14ac:dyDescent="0.2">
      <c r="A112" s="13">
        <v>138</v>
      </c>
      <c r="B112" s="13">
        <v>35</v>
      </c>
      <c r="C112" s="15">
        <v>18.066167337874969</v>
      </c>
      <c r="D112" s="13">
        <v>0</v>
      </c>
      <c r="E112" s="13">
        <v>50.3</v>
      </c>
      <c r="F112" s="13" t="s">
        <v>7</v>
      </c>
      <c r="G112" s="14">
        <v>0</v>
      </c>
      <c r="H112" s="14">
        <v>12</v>
      </c>
      <c r="I112" s="14">
        <v>0</v>
      </c>
      <c r="J112" s="14">
        <f>K112+L112</f>
        <v>2</v>
      </c>
      <c r="K112" s="14">
        <v>0</v>
      </c>
      <c r="L112" s="14">
        <v>2</v>
      </c>
      <c r="M112" s="14">
        <v>1</v>
      </c>
      <c r="N112" s="14">
        <f>M112+L112+K112</f>
        <v>3</v>
      </c>
    </row>
    <row r="113" spans="1:14" x14ac:dyDescent="0.2">
      <c r="A113" s="13">
        <v>139</v>
      </c>
      <c r="B113" s="13">
        <v>38</v>
      </c>
      <c r="C113" s="15">
        <v>23.111111111111111</v>
      </c>
      <c r="D113" s="13">
        <v>0</v>
      </c>
      <c r="E113" s="13">
        <v>11.7</v>
      </c>
      <c r="F113" s="13">
        <v>35.1</v>
      </c>
      <c r="G113" s="14">
        <v>0</v>
      </c>
      <c r="H113" s="14">
        <v>14</v>
      </c>
      <c r="I113" s="14">
        <v>0</v>
      </c>
      <c r="J113" s="14">
        <f>K113+L113</f>
        <v>1</v>
      </c>
      <c r="K113" s="14">
        <v>0</v>
      </c>
      <c r="L113" s="14">
        <v>1</v>
      </c>
      <c r="M113" s="14">
        <v>0</v>
      </c>
      <c r="N113" s="14">
        <f>M113+L113+K113</f>
        <v>1</v>
      </c>
    </row>
    <row r="114" spans="1:14" x14ac:dyDescent="0.2">
      <c r="A114" s="13">
        <v>141</v>
      </c>
      <c r="B114" s="13">
        <v>39</v>
      </c>
      <c r="C114" s="15">
        <v>20.576131687242793</v>
      </c>
      <c r="D114" s="13">
        <v>0</v>
      </c>
      <c r="E114" s="13">
        <v>19.8</v>
      </c>
      <c r="F114" s="13" t="s">
        <v>7</v>
      </c>
      <c r="G114" s="14">
        <v>0</v>
      </c>
      <c r="H114" s="14">
        <v>16</v>
      </c>
      <c r="I114" s="14">
        <v>0</v>
      </c>
      <c r="J114" s="14">
        <f>K114+L114</f>
        <v>1</v>
      </c>
      <c r="K114" s="14">
        <v>0</v>
      </c>
      <c r="L114" s="14">
        <v>1</v>
      </c>
      <c r="M114" s="14">
        <v>1</v>
      </c>
      <c r="N114" s="14">
        <f>M114+L114+K114</f>
        <v>2</v>
      </c>
    </row>
    <row r="115" spans="1:14" x14ac:dyDescent="0.2">
      <c r="A115" s="13">
        <v>142</v>
      </c>
      <c r="B115" s="13">
        <v>32</v>
      </c>
      <c r="C115" s="15">
        <v>22.03856749311295</v>
      </c>
      <c r="D115" s="13">
        <v>0</v>
      </c>
      <c r="E115" s="13">
        <v>25.6</v>
      </c>
      <c r="F115" s="13" t="s">
        <v>7</v>
      </c>
      <c r="G115" s="14">
        <v>0</v>
      </c>
      <c r="H115" s="14">
        <v>13</v>
      </c>
      <c r="I115" s="14">
        <v>0</v>
      </c>
      <c r="J115" s="14">
        <f>K115+L115</f>
        <v>1</v>
      </c>
      <c r="K115" s="14">
        <v>0</v>
      </c>
      <c r="L115" s="14">
        <v>1</v>
      </c>
      <c r="M115" s="14">
        <v>0</v>
      </c>
      <c r="N115" s="14">
        <f>M115+L115+K115</f>
        <v>1</v>
      </c>
    </row>
    <row r="116" spans="1:14" x14ac:dyDescent="0.2">
      <c r="A116" s="13">
        <v>143</v>
      </c>
      <c r="B116" s="13">
        <v>39</v>
      </c>
      <c r="C116" s="15">
        <v>17.187499999999996</v>
      </c>
      <c r="D116" s="13">
        <v>0</v>
      </c>
      <c r="E116" s="13">
        <v>89.2</v>
      </c>
      <c r="F116" s="13" t="s">
        <v>7</v>
      </c>
      <c r="G116" s="14">
        <v>0</v>
      </c>
      <c r="H116" s="14">
        <v>14</v>
      </c>
      <c r="I116" s="14">
        <v>0</v>
      </c>
      <c r="J116" s="14">
        <f>K116+L116</f>
        <v>1</v>
      </c>
      <c r="K116" s="14">
        <v>1</v>
      </c>
      <c r="L116" s="14">
        <v>0</v>
      </c>
      <c r="M116" s="14">
        <v>2</v>
      </c>
      <c r="N116" s="14">
        <f>M116+L116+K116</f>
        <v>3</v>
      </c>
    </row>
    <row r="117" spans="1:14" x14ac:dyDescent="0.2">
      <c r="A117" s="13">
        <v>144</v>
      </c>
      <c r="B117" s="13">
        <v>36</v>
      </c>
      <c r="C117" s="15">
        <v>19.921874999999996</v>
      </c>
      <c r="D117" s="13">
        <v>0</v>
      </c>
      <c r="E117" s="13">
        <v>49.5</v>
      </c>
      <c r="F117" s="13">
        <v>39.200000000000003</v>
      </c>
      <c r="G117" s="14">
        <v>0</v>
      </c>
      <c r="H117" s="14">
        <v>13</v>
      </c>
      <c r="I117" s="14">
        <v>0</v>
      </c>
      <c r="J117" s="14">
        <f>K117+L117</f>
        <v>2</v>
      </c>
      <c r="K117" s="14">
        <v>0</v>
      </c>
      <c r="L117" s="14">
        <v>2</v>
      </c>
      <c r="M117" s="14">
        <v>0</v>
      </c>
      <c r="N117" s="14">
        <f>M117+L117+K117</f>
        <v>2</v>
      </c>
    </row>
    <row r="118" spans="1:14" x14ac:dyDescent="0.2">
      <c r="A118" s="13">
        <v>146</v>
      </c>
      <c r="B118" s="13">
        <v>30</v>
      </c>
      <c r="C118" s="15">
        <v>18.286779733945284</v>
      </c>
      <c r="D118" s="13">
        <v>0</v>
      </c>
      <c r="E118" s="13">
        <v>53.4</v>
      </c>
      <c r="F118" s="13" t="s">
        <v>7</v>
      </c>
      <c r="G118" s="14">
        <v>1</v>
      </c>
      <c r="H118" s="14">
        <v>14</v>
      </c>
      <c r="I118" s="14">
        <v>0</v>
      </c>
      <c r="J118" s="14">
        <f>K118+L118</f>
        <v>0</v>
      </c>
      <c r="K118" s="14">
        <v>0</v>
      </c>
      <c r="L118" s="14">
        <v>0</v>
      </c>
      <c r="M118" s="14">
        <v>0</v>
      </c>
      <c r="N118" s="14">
        <f>M118+L118+K118</f>
        <v>0</v>
      </c>
    </row>
    <row r="119" spans="1:14" x14ac:dyDescent="0.2">
      <c r="A119" s="13">
        <v>147</v>
      </c>
      <c r="B119" s="13">
        <v>68</v>
      </c>
      <c r="C119" s="15">
        <v>20.66115702479339</v>
      </c>
      <c r="D119" s="13">
        <v>0</v>
      </c>
      <c r="E119" s="13">
        <v>10.3</v>
      </c>
      <c r="F119" s="13" t="s">
        <v>7</v>
      </c>
      <c r="G119" s="14">
        <v>0</v>
      </c>
      <c r="H119" s="14">
        <v>12</v>
      </c>
      <c r="I119" s="14">
        <v>0</v>
      </c>
      <c r="J119" s="14">
        <f>K119+L119</f>
        <v>1</v>
      </c>
      <c r="K119" s="14">
        <v>0</v>
      </c>
      <c r="L119" s="14">
        <v>1</v>
      </c>
      <c r="M119" s="14">
        <v>1</v>
      </c>
      <c r="N119" s="14">
        <f>M119+L119+K119</f>
        <v>2</v>
      </c>
    </row>
    <row r="120" spans="1:14" x14ac:dyDescent="0.2">
      <c r="A120" s="13">
        <v>148</v>
      </c>
      <c r="B120" s="13">
        <v>36</v>
      </c>
      <c r="C120" s="15">
        <v>18.68512110726644</v>
      </c>
      <c r="D120" s="13">
        <v>0</v>
      </c>
      <c r="E120" s="13">
        <v>124.7</v>
      </c>
      <c r="F120" s="13" t="s">
        <v>7</v>
      </c>
      <c r="G120" s="14">
        <v>0</v>
      </c>
      <c r="H120" s="14">
        <v>13</v>
      </c>
      <c r="I120" s="14">
        <v>0</v>
      </c>
      <c r="J120" s="14">
        <f>K120+L120</f>
        <v>0</v>
      </c>
      <c r="K120" s="14">
        <v>0</v>
      </c>
      <c r="L120" s="14">
        <v>0</v>
      </c>
      <c r="M120" s="14">
        <v>0</v>
      </c>
      <c r="N120" s="14">
        <f>M120+L120+K120</f>
        <v>0</v>
      </c>
    </row>
    <row r="121" spans="1:14" x14ac:dyDescent="0.2">
      <c r="A121" s="13">
        <v>149</v>
      </c>
      <c r="B121" s="13">
        <v>51</v>
      </c>
      <c r="C121" s="15">
        <v>21.644120707596251</v>
      </c>
      <c r="D121" s="13">
        <v>0</v>
      </c>
      <c r="E121" s="13">
        <v>9.1</v>
      </c>
      <c r="F121" s="13" t="s">
        <v>7</v>
      </c>
      <c r="G121" s="14">
        <v>0</v>
      </c>
      <c r="H121" s="14">
        <v>13</v>
      </c>
      <c r="I121" s="14">
        <v>0</v>
      </c>
      <c r="J121" s="14">
        <f>K121+L121</f>
        <v>1</v>
      </c>
      <c r="K121" s="14">
        <v>0</v>
      </c>
      <c r="L121" s="14">
        <v>1</v>
      </c>
      <c r="M121" s="14">
        <v>1</v>
      </c>
      <c r="N121" s="14">
        <f>M121+L121+K121</f>
        <v>2</v>
      </c>
    </row>
    <row r="122" spans="1:14" x14ac:dyDescent="0.2">
      <c r="A122" s="13">
        <v>151</v>
      </c>
      <c r="B122" s="13">
        <v>24</v>
      </c>
      <c r="C122" s="15">
        <v>17.527815881725342</v>
      </c>
      <c r="D122" s="13">
        <v>0</v>
      </c>
      <c r="E122" s="13">
        <v>53.6</v>
      </c>
      <c r="F122" s="13" t="s">
        <v>7</v>
      </c>
      <c r="G122" s="14">
        <v>0</v>
      </c>
      <c r="H122" s="14">
        <v>11</v>
      </c>
      <c r="I122" s="14">
        <v>0</v>
      </c>
      <c r="J122" s="14">
        <f>K122+L122</f>
        <v>0</v>
      </c>
      <c r="K122" s="14">
        <v>0</v>
      </c>
      <c r="L122" s="14">
        <v>0</v>
      </c>
      <c r="M122" s="14">
        <v>0</v>
      </c>
      <c r="N122" s="14">
        <f>M122+L122+K122</f>
        <v>0</v>
      </c>
    </row>
    <row r="123" spans="1:14" x14ac:dyDescent="0.2">
      <c r="A123" s="13">
        <v>152</v>
      </c>
      <c r="B123" s="13">
        <v>48</v>
      </c>
      <c r="C123" s="15">
        <v>21.484374999999996</v>
      </c>
      <c r="D123" s="13">
        <v>0</v>
      </c>
      <c r="E123" s="13">
        <v>10.199999999999999</v>
      </c>
      <c r="F123" s="13" t="s">
        <v>7</v>
      </c>
      <c r="G123" s="14">
        <v>0</v>
      </c>
      <c r="H123" s="14">
        <v>14</v>
      </c>
      <c r="I123" s="14">
        <v>0</v>
      </c>
      <c r="J123" s="14">
        <f>K123+L123</f>
        <v>1</v>
      </c>
      <c r="K123" s="14">
        <v>0</v>
      </c>
      <c r="L123" s="14">
        <v>1</v>
      </c>
      <c r="M123" s="14">
        <v>2</v>
      </c>
      <c r="N123" s="14">
        <f>M123+L123+K123</f>
        <v>3</v>
      </c>
    </row>
    <row r="124" spans="1:14" x14ac:dyDescent="0.2">
      <c r="A124" s="13">
        <v>153</v>
      </c>
      <c r="B124" s="13">
        <v>29</v>
      </c>
      <c r="C124" s="15">
        <v>27.055150884495315</v>
      </c>
      <c r="D124" s="13">
        <v>0</v>
      </c>
      <c r="E124" s="13">
        <v>11.3</v>
      </c>
      <c r="F124" s="13">
        <v>29.1</v>
      </c>
      <c r="G124" s="14">
        <v>0</v>
      </c>
      <c r="H124" s="14">
        <v>12</v>
      </c>
      <c r="I124" s="14">
        <v>0</v>
      </c>
      <c r="J124" s="14">
        <f>K124+L124</f>
        <v>0</v>
      </c>
      <c r="K124" s="14">
        <v>0</v>
      </c>
      <c r="L124" s="14">
        <v>0</v>
      </c>
      <c r="M124" s="14">
        <v>0</v>
      </c>
      <c r="N124" s="14">
        <f>M124+L124+K124</f>
        <v>0</v>
      </c>
    </row>
    <row r="125" spans="1:14" x14ac:dyDescent="0.2">
      <c r="A125" s="13">
        <v>154</v>
      </c>
      <c r="B125" s="13">
        <v>36</v>
      </c>
      <c r="C125" s="15">
        <v>22.582709172343712</v>
      </c>
      <c r="D125" s="13">
        <v>0</v>
      </c>
      <c r="E125" s="13">
        <v>32.1</v>
      </c>
      <c r="F125" s="13" t="s">
        <v>7</v>
      </c>
      <c r="G125" s="14">
        <v>0</v>
      </c>
      <c r="H125" s="14">
        <v>13</v>
      </c>
      <c r="I125" s="14">
        <v>0</v>
      </c>
      <c r="J125" s="14">
        <f>K125+L125</f>
        <v>1</v>
      </c>
      <c r="K125" s="14">
        <v>1</v>
      </c>
      <c r="L125" s="14">
        <v>0</v>
      </c>
      <c r="M125" s="14">
        <v>1</v>
      </c>
      <c r="N125" s="14">
        <f>M125+L125+K125</f>
        <v>2</v>
      </c>
    </row>
    <row r="126" spans="1:14" x14ac:dyDescent="0.2">
      <c r="A126" s="13">
        <v>156</v>
      </c>
      <c r="B126" s="13">
        <v>48</v>
      </c>
      <c r="C126" s="15">
        <v>22.546576480360741</v>
      </c>
      <c r="D126" s="13">
        <v>0</v>
      </c>
      <c r="E126" s="13">
        <v>82.8</v>
      </c>
      <c r="F126" s="13">
        <v>28.5</v>
      </c>
      <c r="G126" s="14">
        <v>0</v>
      </c>
      <c r="H126" s="14">
        <v>15</v>
      </c>
      <c r="I126" s="14">
        <v>0</v>
      </c>
      <c r="J126" s="14">
        <f>K126+L126</f>
        <v>1</v>
      </c>
      <c r="K126" s="14">
        <v>0</v>
      </c>
      <c r="L126" s="14">
        <v>1</v>
      </c>
      <c r="M126" s="14">
        <v>2</v>
      </c>
      <c r="N126" s="14">
        <f>M126+L126+K126</f>
        <v>3</v>
      </c>
    </row>
    <row r="127" spans="1:14" x14ac:dyDescent="0.2">
      <c r="A127" s="13">
        <v>157</v>
      </c>
      <c r="B127" s="13">
        <v>42</v>
      </c>
      <c r="C127" s="15">
        <v>23.372576177285318</v>
      </c>
      <c r="D127" s="13">
        <v>0</v>
      </c>
      <c r="E127" s="13">
        <v>91.3</v>
      </c>
      <c r="F127" s="13" t="s">
        <v>7</v>
      </c>
      <c r="G127" s="14">
        <v>0</v>
      </c>
      <c r="H127" s="14">
        <v>11</v>
      </c>
      <c r="I127" s="14">
        <v>0</v>
      </c>
      <c r="J127" s="14">
        <f>K127+L127</f>
        <v>1</v>
      </c>
      <c r="K127" s="14">
        <v>0</v>
      </c>
      <c r="L127" s="14">
        <v>1</v>
      </c>
      <c r="M127" s="14">
        <v>0</v>
      </c>
      <c r="N127" s="14">
        <f>M127+L127+K127</f>
        <v>1</v>
      </c>
    </row>
    <row r="128" spans="1:14" x14ac:dyDescent="0.2">
      <c r="A128" s="13">
        <v>158</v>
      </c>
      <c r="B128" s="13">
        <v>35</v>
      </c>
      <c r="C128" s="15">
        <v>24.386526444139609</v>
      </c>
      <c r="D128" s="13">
        <v>0</v>
      </c>
      <c r="E128" s="13">
        <v>21.8</v>
      </c>
      <c r="F128" s="13" t="s">
        <v>7</v>
      </c>
      <c r="G128" s="14">
        <v>0</v>
      </c>
      <c r="H128" s="14">
        <v>14</v>
      </c>
      <c r="I128" s="14">
        <v>0</v>
      </c>
      <c r="J128" s="14">
        <f>K128+L128</f>
        <v>1</v>
      </c>
      <c r="K128" s="14">
        <v>0</v>
      </c>
      <c r="L128" s="14">
        <v>1</v>
      </c>
      <c r="M128" s="14">
        <v>0</v>
      </c>
      <c r="N128" s="14">
        <f>M128+L128+K128</f>
        <v>1</v>
      </c>
    </row>
    <row r="129" spans="1:14" x14ac:dyDescent="0.2">
      <c r="A129" s="13">
        <v>159</v>
      </c>
      <c r="B129" s="13">
        <v>45</v>
      </c>
      <c r="C129" s="15">
        <v>18.986590720303784</v>
      </c>
      <c r="D129" s="13">
        <v>0</v>
      </c>
      <c r="E129" s="13">
        <v>86.8</v>
      </c>
      <c r="F129" s="13" t="s">
        <v>7</v>
      </c>
      <c r="G129" s="14">
        <v>0</v>
      </c>
      <c r="H129" s="14">
        <v>14</v>
      </c>
      <c r="I129" s="14">
        <v>0</v>
      </c>
      <c r="J129" s="14">
        <f>K129+L129</f>
        <v>2</v>
      </c>
      <c r="K129" s="14">
        <v>1</v>
      </c>
      <c r="L129" s="14">
        <v>1</v>
      </c>
      <c r="M129" s="14">
        <v>5</v>
      </c>
      <c r="N129" s="14">
        <f>M129+L129+K129</f>
        <v>7</v>
      </c>
    </row>
    <row r="130" spans="1:14" x14ac:dyDescent="0.2">
      <c r="A130" s="13">
        <v>161</v>
      </c>
      <c r="B130" s="13">
        <v>33</v>
      </c>
      <c r="C130" s="15">
        <v>16.796874999999996</v>
      </c>
      <c r="D130" s="13">
        <v>0</v>
      </c>
      <c r="E130" s="13">
        <v>27.7</v>
      </c>
      <c r="F130" s="13" t="s">
        <v>7</v>
      </c>
      <c r="G130" s="14">
        <v>0</v>
      </c>
      <c r="H130" s="14">
        <v>14</v>
      </c>
      <c r="I130" s="14">
        <v>0</v>
      </c>
      <c r="J130" s="14">
        <f>K130+L130</f>
        <v>1</v>
      </c>
      <c r="K130" s="14">
        <v>1</v>
      </c>
      <c r="L130" s="14">
        <v>0</v>
      </c>
      <c r="M130" s="14">
        <v>0</v>
      </c>
      <c r="N130" s="14">
        <f>M130+L130+K130</f>
        <v>1</v>
      </c>
    </row>
    <row r="131" spans="1:14" x14ac:dyDescent="0.2">
      <c r="A131" s="13">
        <v>162</v>
      </c>
      <c r="B131" s="13">
        <v>39</v>
      </c>
      <c r="C131" s="15">
        <v>20.766583600332265</v>
      </c>
      <c r="D131" s="13">
        <v>0</v>
      </c>
      <c r="E131" s="13">
        <v>21</v>
      </c>
      <c r="F131" s="13" t="s">
        <v>7</v>
      </c>
      <c r="G131" s="14">
        <v>0</v>
      </c>
      <c r="H131" s="14">
        <v>12</v>
      </c>
      <c r="I131" s="14">
        <v>1</v>
      </c>
      <c r="J131" s="14">
        <f>K131+L131</f>
        <v>2</v>
      </c>
      <c r="K131" s="14">
        <v>1</v>
      </c>
      <c r="L131" s="14">
        <v>1</v>
      </c>
      <c r="M131" s="14">
        <v>1</v>
      </c>
      <c r="N131" s="14">
        <f>M131+L131+K131</f>
        <v>3</v>
      </c>
    </row>
    <row r="132" spans="1:14" x14ac:dyDescent="0.2">
      <c r="A132" s="13">
        <v>163</v>
      </c>
      <c r="B132" s="13">
        <v>63</v>
      </c>
      <c r="C132" s="15">
        <v>20.82999519307803</v>
      </c>
      <c r="D132" s="13">
        <v>0</v>
      </c>
      <c r="E132" s="13">
        <v>6.2</v>
      </c>
      <c r="F132" s="13" t="s">
        <v>7</v>
      </c>
      <c r="G132" s="14">
        <v>0</v>
      </c>
      <c r="H132" s="14">
        <v>13</v>
      </c>
      <c r="I132" s="14">
        <v>0</v>
      </c>
      <c r="J132" s="14">
        <f>K132+L132</f>
        <v>1</v>
      </c>
      <c r="K132" s="14">
        <v>0</v>
      </c>
      <c r="L132" s="14">
        <v>1</v>
      </c>
      <c r="M132" s="14">
        <v>1</v>
      </c>
      <c r="N132" s="14">
        <f>M132+L132+K132</f>
        <v>2</v>
      </c>
    </row>
    <row r="133" spans="1:14" x14ac:dyDescent="0.2">
      <c r="A133" s="13">
        <v>164</v>
      </c>
      <c r="B133" s="13">
        <v>35</v>
      </c>
      <c r="C133" s="15">
        <v>19.705532421177875</v>
      </c>
      <c r="D133" s="13">
        <v>0</v>
      </c>
      <c r="E133" s="13">
        <v>50.4</v>
      </c>
      <c r="F133" s="13" t="s">
        <v>7</v>
      </c>
      <c r="G133" s="14">
        <v>0</v>
      </c>
      <c r="H133" s="14">
        <v>14</v>
      </c>
      <c r="I133" s="14">
        <v>0</v>
      </c>
      <c r="J133" s="14">
        <f>K133+L133</f>
        <v>1</v>
      </c>
      <c r="K133" s="14">
        <v>0</v>
      </c>
      <c r="L133" s="14">
        <v>1</v>
      </c>
      <c r="M133" s="14">
        <v>1</v>
      </c>
      <c r="N133" s="14">
        <f>M133+L133+K133</f>
        <v>2</v>
      </c>
    </row>
    <row r="134" spans="1:14" x14ac:dyDescent="0.2">
      <c r="A134" s="13">
        <v>166</v>
      </c>
      <c r="B134" s="13">
        <v>19</v>
      </c>
      <c r="C134" s="15">
        <v>17.606569071632933</v>
      </c>
      <c r="D134" s="13">
        <v>0</v>
      </c>
      <c r="E134" s="13">
        <v>230.3</v>
      </c>
      <c r="F134" s="13" t="s">
        <v>7</v>
      </c>
      <c r="G134" s="14">
        <v>0</v>
      </c>
      <c r="H134" s="14">
        <v>10</v>
      </c>
      <c r="I134" s="14">
        <v>0</v>
      </c>
      <c r="J134" s="14">
        <f>K134+L134</f>
        <v>0</v>
      </c>
      <c r="K134" s="14">
        <v>0</v>
      </c>
      <c r="L134" s="14">
        <v>0</v>
      </c>
      <c r="M134" s="14">
        <v>0</v>
      </c>
      <c r="N134" s="14">
        <f>M134+L134+K134</f>
        <v>0</v>
      </c>
    </row>
    <row r="135" spans="1:14" x14ac:dyDescent="0.2">
      <c r="A135" s="13">
        <v>167</v>
      </c>
      <c r="B135" s="13">
        <v>40</v>
      </c>
      <c r="C135" s="15">
        <v>19.705532421177875</v>
      </c>
      <c r="D135" s="13">
        <v>0</v>
      </c>
      <c r="E135" s="13">
        <v>22.9</v>
      </c>
      <c r="F135" s="13">
        <v>32.700000000000003</v>
      </c>
      <c r="G135" s="14">
        <v>0</v>
      </c>
      <c r="H135" s="14">
        <v>13</v>
      </c>
      <c r="I135" s="14">
        <v>0</v>
      </c>
      <c r="J135" s="14">
        <f>K135+L135</f>
        <v>1</v>
      </c>
      <c r="K135" s="14">
        <v>1</v>
      </c>
      <c r="L135" s="14">
        <v>0</v>
      </c>
      <c r="M135" s="14">
        <v>0</v>
      </c>
      <c r="N135" s="14">
        <f>M135+L135+K135</f>
        <v>1</v>
      </c>
    </row>
    <row r="136" spans="1:14" x14ac:dyDescent="0.2">
      <c r="A136" s="13">
        <v>168</v>
      </c>
      <c r="B136" s="13">
        <v>52</v>
      </c>
      <c r="C136" s="15">
        <v>29.024943310657598</v>
      </c>
      <c r="D136" s="13">
        <v>0</v>
      </c>
      <c r="E136" s="13">
        <v>2790</v>
      </c>
      <c r="F136" s="13" t="s">
        <v>7</v>
      </c>
      <c r="G136" s="14">
        <v>0</v>
      </c>
      <c r="H136" s="14">
        <v>12</v>
      </c>
      <c r="I136" s="14">
        <v>0</v>
      </c>
      <c r="J136" s="14">
        <f>K136+L136</f>
        <v>0</v>
      </c>
      <c r="K136" s="14">
        <v>0</v>
      </c>
      <c r="L136" s="14">
        <v>0</v>
      </c>
      <c r="M136" s="14">
        <v>0</v>
      </c>
      <c r="N136" s="14">
        <f>M136+L136+K136</f>
        <v>0</v>
      </c>
    </row>
    <row r="137" spans="1:14" x14ac:dyDescent="0.2">
      <c r="A137" s="13">
        <v>169</v>
      </c>
      <c r="B137" s="13">
        <v>40</v>
      </c>
      <c r="C137" s="15">
        <v>21.093749999999996</v>
      </c>
      <c r="D137" s="13">
        <v>0</v>
      </c>
      <c r="E137" s="13">
        <v>76.2</v>
      </c>
      <c r="F137" s="13" t="s">
        <v>7</v>
      </c>
      <c r="G137" s="14">
        <v>0</v>
      </c>
      <c r="H137" s="14">
        <v>13</v>
      </c>
      <c r="I137" s="14">
        <v>0</v>
      </c>
      <c r="J137" s="14">
        <f>K137+L137</f>
        <v>1</v>
      </c>
      <c r="K137" s="14">
        <v>0</v>
      </c>
      <c r="L137" s="14">
        <v>1</v>
      </c>
      <c r="M137" s="14">
        <v>0</v>
      </c>
      <c r="N137" s="14">
        <f>M137+L137+K137</f>
        <v>1</v>
      </c>
    </row>
    <row r="138" spans="1:14" x14ac:dyDescent="0.2">
      <c r="A138" s="13">
        <v>171</v>
      </c>
      <c r="B138" s="13">
        <v>37</v>
      </c>
      <c r="C138" s="15">
        <v>21.177329709115988</v>
      </c>
      <c r="D138" s="13">
        <v>0</v>
      </c>
      <c r="E138" s="13">
        <v>103.3</v>
      </c>
      <c r="F138" s="13" t="s">
        <v>7</v>
      </c>
      <c r="G138" s="14">
        <v>0</v>
      </c>
      <c r="H138" s="14">
        <v>12</v>
      </c>
      <c r="I138" s="14">
        <v>0</v>
      </c>
      <c r="J138" s="14">
        <f>K138+L138</f>
        <v>1</v>
      </c>
      <c r="K138" s="14">
        <v>1</v>
      </c>
      <c r="L138" s="14">
        <v>0</v>
      </c>
      <c r="M138" s="14">
        <v>0</v>
      </c>
      <c r="N138" s="14">
        <f>M138+L138+K138</f>
        <v>1</v>
      </c>
    </row>
    <row r="139" spans="1:14" x14ac:dyDescent="0.2">
      <c r="A139" s="13">
        <v>172</v>
      </c>
      <c r="B139" s="13">
        <v>33</v>
      </c>
      <c r="C139" s="15">
        <v>20.136249012006473</v>
      </c>
      <c r="D139" s="13">
        <v>0</v>
      </c>
      <c r="E139" s="13">
        <v>151.80000000000001</v>
      </c>
      <c r="F139" s="13" t="s">
        <v>7</v>
      </c>
      <c r="G139" s="14">
        <v>0</v>
      </c>
      <c r="H139" s="14">
        <v>11</v>
      </c>
      <c r="I139" s="14">
        <v>0</v>
      </c>
      <c r="J139" s="14">
        <f>K139+L139</f>
        <v>0</v>
      </c>
      <c r="K139" s="14">
        <v>0</v>
      </c>
      <c r="L139" s="14">
        <v>0</v>
      </c>
      <c r="M139" s="14">
        <v>0</v>
      </c>
      <c r="N139" s="14">
        <f>M139+L139+K139</f>
        <v>0</v>
      </c>
    </row>
    <row r="140" spans="1:14" x14ac:dyDescent="0.2">
      <c r="A140" s="13">
        <v>173</v>
      </c>
      <c r="B140" s="13">
        <v>34</v>
      </c>
      <c r="C140" s="15">
        <v>18.132016511708652</v>
      </c>
      <c r="D140" s="13">
        <v>0</v>
      </c>
      <c r="E140" s="13">
        <v>80.8</v>
      </c>
      <c r="F140" s="13" t="s">
        <v>7</v>
      </c>
      <c r="G140" s="14">
        <v>0</v>
      </c>
      <c r="H140" s="14">
        <v>12</v>
      </c>
      <c r="I140" s="14">
        <v>0</v>
      </c>
      <c r="J140" s="14">
        <f>K140+L140</f>
        <v>1</v>
      </c>
      <c r="K140" s="14">
        <v>1</v>
      </c>
      <c r="L140" s="14">
        <v>0</v>
      </c>
      <c r="M140" s="14">
        <v>0</v>
      </c>
      <c r="N140" s="14">
        <f>M140+L140+K140</f>
        <v>1</v>
      </c>
    </row>
    <row r="141" spans="1:14" x14ac:dyDescent="0.2">
      <c r="A141" s="13">
        <v>174</v>
      </c>
      <c r="B141" s="13">
        <v>53</v>
      </c>
      <c r="C141" s="15">
        <v>28.228386465429637</v>
      </c>
      <c r="D141" s="13">
        <v>0</v>
      </c>
      <c r="E141" s="13">
        <v>5.2</v>
      </c>
      <c r="F141" s="13">
        <v>26.2</v>
      </c>
      <c r="G141" s="14">
        <v>0</v>
      </c>
      <c r="H141" s="14">
        <v>14</v>
      </c>
      <c r="I141" s="14">
        <v>0</v>
      </c>
      <c r="J141" s="14">
        <f>K141+L141</f>
        <v>1</v>
      </c>
      <c r="K141" s="14">
        <v>1</v>
      </c>
      <c r="L141" s="14">
        <v>0</v>
      </c>
      <c r="M141" s="14">
        <v>0</v>
      </c>
      <c r="N141" s="14">
        <f>M141+L141+K141</f>
        <v>1</v>
      </c>
    </row>
    <row r="142" spans="1:14" x14ac:dyDescent="0.2">
      <c r="A142" s="13">
        <v>176</v>
      </c>
      <c r="B142" s="13">
        <v>44</v>
      </c>
      <c r="C142" s="15">
        <v>23.233456176894723</v>
      </c>
      <c r="D142" s="13">
        <v>0</v>
      </c>
      <c r="E142" s="13">
        <v>41.2</v>
      </c>
      <c r="F142" s="13" t="s">
        <v>7</v>
      </c>
      <c r="G142" s="14">
        <v>0</v>
      </c>
      <c r="H142" s="14">
        <v>13</v>
      </c>
      <c r="I142" s="14">
        <v>0</v>
      </c>
      <c r="J142" s="14">
        <f>K142+L142</f>
        <v>2</v>
      </c>
      <c r="K142" s="14">
        <v>1</v>
      </c>
      <c r="L142" s="14">
        <v>1</v>
      </c>
      <c r="M142" s="14">
        <v>0</v>
      </c>
      <c r="N142" s="14">
        <f>M142+L142+K142</f>
        <v>2</v>
      </c>
    </row>
    <row r="143" spans="1:14" x14ac:dyDescent="0.2">
      <c r="A143" s="13">
        <v>177</v>
      </c>
      <c r="B143" s="13">
        <v>35</v>
      </c>
      <c r="C143" s="15">
        <v>19.562955254942764</v>
      </c>
      <c r="D143" s="13">
        <v>0</v>
      </c>
      <c r="E143" s="13">
        <v>39.1</v>
      </c>
      <c r="F143" s="13" t="s">
        <v>7</v>
      </c>
      <c r="G143" s="14">
        <v>0</v>
      </c>
      <c r="H143" s="14">
        <v>13</v>
      </c>
      <c r="I143" s="14">
        <v>0</v>
      </c>
      <c r="J143" s="14">
        <f>K143+L143</f>
        <v>2</v>
      </c>
      <c r="K143" s="14">
        <v>1</v>
      </c>
      <c r="L143" s="14">
        <v>1</v>
      </c>
      <c r="M143" s="14">
        <v>2</v>
      </c>
      <c r="N143" s="14">
        <f>M143+L143+K143</f>
        <v>4</v>
      </c>
    </row>
    <row r="144" spans="1:14" x14ac:dyDescent="0.2">
      <c r="A144" s="13">
        <v>178</v>
      </c>
      <c r="B144" s="13">
        <v>42</v>
      </c>
      <c r="C144" s="15">
        <v>19.921874999999996</v>
      </c>
      <c r="D144" s="13">
        <v>0</v>
      </c>
      <c r="E144" s="13">
        <v>56.5</v>
      </c>
      <c r="F144" s="13" t="s">
        <v>7</v>
      </c>
      <c r="G144" s="14">
        <v>0</v>
      </c>
      <c r="H144" s="14">
        <v>13</v>
      </c>
      <c r="I144" s="14">
        <v>0</v>
      </c>
      <c r="J144" s="14">
        <f>K144+L144</f>
        <v>1</v>
      </c>
      <c r="K144" s="14">
        <v>1</v>
      </c>
      <c r="L144" s="14">
        <v>0</v>
      </c>
      <c r="M144" s="14">
        <v>2</v>
      </c>
      <c r="N144" s="14">
        <f>M144+L144+K144</f>
        <v>3</v>
      </c>
    </row>
    <row r="145" spans="1:14" x14ac:dyDescent="0.2">
      <c r="A145" s="13">
        <v>179</v>
      </c>
      <c r="B145" s="13">
        <v>42</v>
      </c>
      <c r="C145" s="15">
        <v>22.308149910767405</v>
      </c>
      <c r="D145" s="13">
        <v>0</v>
      </c>
      <c r="E145" s="13">
        <v>82.5</v>
      </c>
      <c r="F145" s="13" t="s">
        <v>7</v>
      </c>
      <c r="G145" s="14">
        <v>0</v>
      </c>
      <c r="H145" s="14">
        <v>12</v>
      </c>
      <c r="I145" s="14">
        <v>0</v>
      </c>
      <c r="J145" s="14">
        <f>K145+L145</f>
        <v>1</v>
      </c>
      <c r="K145" s="14">
        <v>0</v>
      </c>
      <c r="L145" s="14">
        <v>1</v>
      </c>
      <c r="M145" s="14">
        <v>0</v>
      </c>
      <c r="N145" s="14">
        <f>M145+L145+K145</f>
        <v>1</v>
      </c>
    </row>
    <row r="146" spans="1:14" x14ac:dyDescent="0.2">
      <c r="A146" s="13">
        <v>181</v>
      </c>
      <c r="B146" s="13">
        <v>43</v>
      </c>
      <c r="C146" s="15">
        <v>31.445281204935103</v>
      </c>
      <c r="D146" s="13">
        <v>0</v>
      </c>
      <c r="E146" s="13">
        <v>47.5</v>
      </c>
      <c r="F146" s="13" t="s">
        <v>7</v>
      </c>
      <c r="G146" s="14">
        <v>0</v>
      </c>
      <c r="H146" s="14">
        <v>11</v>
      </c>
      <c r="I146" s="14">
        <v>1</v>
      </c>
      <c r="J146" s="14">
        <f>K146+L146</f>
        <v>1</v>
      </c>
      <c r="K146" s="14">
        <v>1</v>
      </c>
      <c r="L146" s="14">
        <v>0</v>
      </c>
      <c r="M146" s="14">
        <v>0</v>
      </c>
      <c r="N146" s="14">
        <f>M146+L146+K146</f>
        <v>1</v>
      </c>
    </row>
    <row r="147" spans="1:14" x14ac:dyDescent="0.2">
      <c r="A147" s="13">
        <v>182</v>
      </c>
      <c r="B147" s="13">
        <v>61</v>
      </c>
      <c r="C147" s="15">
        <v>22.383179920527141</v>
      </c>
      <c r="D147" s="13">
        <v>0</v>
      </c>
      <c r="E147" s="13">
        <v>9.1</v>
      </c>
      <c r="F147" s="13" t="s">
        <v>7</v>
      </c>
      <c r="G147" s="14">
        <v>0</v>
      </c>
      <c r="H147" s="14">
        <v>12</v>
      </c>
      <c r="I147" s="14">
        <v>0</v>
      </c>
      <c r="J147" s="14">
        <f>K147+L147</f>
        <v>1</v>
      </c>
      <c r="K147" s="14">
        <v>0</v>
      </c>
      <c r="L147" s="14">
        <v>1</v>
      </c>
      <c r="M147" s="14">
        <v>1</v>
      </c>
      <c r="N147" s="14">
        <f>M147+L147+K147</f>
        <v>2</v>
      </c>
    </row>
    <row r="148" spans="1:14" x14ac:dyDescent="0.2">
      <c r="A148" s="13">
        <v>183</v>
      </c>
      <c r="B148" s="13">
        <v>41</v>
      </c>
      <c r="C148" s="15">
        <v>21.564544913741823</v>
      </c>
      <c r="D148" s="13">
        <v>0</v>
      </c>
      <c r="E148" s="13">
        <v>27.4</v>
      </c>
      <c r="F148" s="13" t="s">
        <v>7</v>
      </c>
      <c r="G148" s="14">
        <v>0</v>
      </c>
      <c r="H148" s="14">
        <v>13</v>
      </c>
      <c r="I148" s="14">
        <v>1</v>
      </c>
      <c r="J148" s="14">
        <f>K148+L148</f>
        <v>1</v>
      </c>
      <c r="K148" s="14">
        <v>1</v>
      </c>
      <c r="L148" s="14">
        <v>0</v>
      </c>
      <c r="M148" s="14">
        <v>1</v>
      </c>
      <c r="N148" s="14">
        <f>M148+L148+K148</f>
        <v>2</v>
      </c>
    </row>
    <row r="149" spans="1:14" x14ac:dyDescent="0.2">
      <c r="A149" s="13">
        <v>184</v>
      </c>
      <c r="B149" s="13">
        <v>40</v>
      </c>
      <c r="C149" s="15">
        <v>21.333333333333332</v>
      </c>
      <c r="D149" s="13">
        <v>0</v>
      </c>
      <c r="E149" s="13">
        <v>5</v>
      </c>
      <c r="F149" s="13" t="s">
        <v>7</v>
      </c>
      <c r="G149" s="14">
        <v>0</v>
      </c>
      <c r="H149" s="14">
        <v>13</v>
      </c>
      <c r="I149" s="14">
        <v>0</v>
      </c>
      <c r="J149" s="14">
        <f>K149+L149</f>
        <v>0</v>
      </c>
      <c r="K149" s="14">
        <v>0</v>
      </c>
      <c r="L149" s="14">
        <v>0</v>
      </c>
      <c r="M149" s="14">
        <v>0</v>
      </c>
      <c r="N149" s="14">
        <f>M149+L149+K149</f>
        <v>0</v>
      </c>
    </row>
    <row r="150" spans="1:14" x14ac:dyDescent="0.2">
      <c r="A150" s="13">
        <v>186</v>
      </c>
      <c r="B150" s="13">
        <v>42</v>
      </c>
      <c r="C150" s="15">
        <v>17.998163452708908</v>
      </c>
      <c r="D150" s="13">
        <v>0</v>
      </c>
      <c r="E150" s="13">
        <v>51.5</v>
      </c>
      <c r="F150" s="13" t="s">
        <v>7</v>
      </c>
      <c r="G150" s="14">
        <v>0</v>
      </c>
      <c r="H150" s="14">
        <v>13</v>
      </c>
      <c r="I150" s="14">
        <v>1</v>
      </c>
      <c r="J150" s="14">
        <f>K150+L150</f>
        <v>2</v>
      </c>
      <c r="K150" s="14">
        <v>2</v>
      </c>
      <c r="L150" s="14">
        <v>0</v>
      </c>
      <c r="M150" s="14">
        <v>0</v>
      </c>
      <c r="N150" s="14">
        <f>M150+L150+K150</f>
        <v>2</v>
      </c>
    </row>
    <row r="151" spans="1:14" x14ac:dyDescent="0.2">
      <c r="A151" s="13">
        <v>187</v>
      </c>
      <c r="B151" s="13">
        <v>39</v>
      </c>
      <c r="C151" s="15">
        <v>25.579986149584489</v>
      </c>
      <c r="D151" s="13">
        <v>0</v>
      </c>
      <c r="E151" s="13">
        <v>72.7</v>
      </c>
      <c r="F151" s="13" t="s">
        <v>7</v>
      </c>
      <c r="G151" s="14">
        <v>0</v>
      </c>
      <c r="H151" s="14">
        <v>12</v>
      </c>
      <c r="I151" s="14">
        <v>0</v>
      </c>
      <c r="J151" s="14">
        <f>K151+L151</f>
        <v>1</v>
      </c>
      <c r="K151" s="14">
        <v>1</v>
      </c>
      <c r="L151" s="14">
        <v>0</v>
      </c>
      <c r="M151" s="14">
        <v>1</v>
      </c>
      <c r="N151" s="14">
        <f>M151+L151+K151</f>
        <v>2</v>
      </c>
    </row>
    <row r="152" spans="1:14" x14ac:dyDescent="0.2">
      <c r="A152" s="13">
        <v>188</v>
      </c>
      <c r="B152" s="13">
        <v>37</v>
      </c>
      <c r="C152" s="15">
        <v>22.060353798126947</v>
      </c>
      <c r="D152" s="13">
        <v>0</v>
      </c>
      <c r="E152" s="13">
        <v>154.30000000000001</v>
      </c>
      <c r="F152" s="13" t="s">
        <v>7</v>
      </c>
      <c r="G152" s="14">
        <v>0</v>
      </c>
      <c r="H152" s="14">
        <v>10</v>
      </c>
      <c r="I152" s="14">
        <v>0</v>
      </c>
      <c r="J152" s="14">
        <f>K152+L152</f>
        <v>1</v>
      </c>
      <c r="K152" s="14">
        <v>1</v>
      </c>
      <c r="L152" s="14">
        <v>0</v>
      </c>
      <c r="M152" s="14">
        <v>0</v>
      </c>
      <c r="N152" s="14">
        <f>M152+L152+K152</f>
        <v>1</v>
      </c>
    </row>
    <row r="153" spans="1:14" x14ac:dyDescent="0.2">
      <c r="A153" s="13">
        <v>189</v>
      </c>
      <c r="B153" s="13">
        <v>37</v>
      </c>
      <c r="C153" s="15">
        <v>23.634033007530842</v>
      </c>
      <c r="D153" s="13">
        <v>0</v>
      </c>
      <c r="E153" s="13">
        <v>80.400000000000006</v>
      </c>
      <c r="F153" s="13">
        <v>27</v>
      </c>
      <c r="G153" s="14">
        <v>0</v>
      </c>
      <c r="H153" s="14">
        <v>14</v>
      </c>
      <c r="I153" s="14">
        <v>0</v>
      </c>
      <c r="J153" s="14">
        <f>K153+L153</f>
        <v>1</v>
      </c>
      <c r="K153" s="14">
        <v>1</v>
      </c>
      <c r="L153" s="14">
        <v>0</v>
      </c>
      <c r="M153" s="14">
        <v>0</v>
      </c>
      <c r="N153" s="14">
        <f>M153+L153+K153</f>
        <v>1</v>
      </c>
    </row>
    <row r="154" spans="1:14" x14ac:dyDescent="0.2">
      <c r="A154" s="13">
        <v>191</v>
      </c>
      <c r="B154" s="13">
        <v>39</v>
      </c>
      <c r="C154" s="15">
        <v>20.703124999999996</v>
      </c>
      <c r="D154" s="13">
        <v>0</v>
      </c>
      <c r="E154" s="13">
        <v>158.1</v>
      </c>
      <c r="F154" s="13" t="s">
        <v>7</v>
      </c>
      <c r="G154" s="14">
        <v>0</v>
      </c>
      <c r="H154" s="14">
        <v>13</v>
      </c>
      <c r="I154" s="14">
        <v>0</v>
      </c>
      <c r="J154" s="14">
        <f>K154+L154</f>
        <v>1</v>
      </c>
      <c r="K154" s="14">
        <v>0</v>
      </c>
      <c r="L154" s="14">
        <v>1</v>
      </c>
      <c r="M154" s="14">
        <v>0</v>
      </c>
      <c r="N154" s="14">
        <f>M154+L154+K154</f>
        <v>1</v>
      </c>
    </row>
    <row r="155" spans="1:14" x14ac:dyDescent="0.2">
      <c r="A155" s="13">
        <v>192</v>
      </c>
      <c r="B155" s="13">
        <v>36</v>
      </c>
      <c r="C155" s="15">
        <v>18.818924310286427</v>
      </c>
      <c r="D155" s="13">
        <v>0</v>
      </c>
      <c r="E155" s="13">
        <v>29.2</v>
      </c>
      <c r="F155" s="13" t="s">
        <v>7</v>
      </c>
      <c r="G155" s="14">
        <v>0</v>
      </c>
      <c r="H155" s="14">
        <v>14</v>
      </c>
      <c r="I155" s="14">
        <v>0</v>
      </c>
      <c r="J155" s="14">
        <f>K155+L155</f>
        <v>1</v>
      </c>
      <c r="K155" s="14">
        <v>0</v>
      </c>
      <c r="L155" s="14">
        <v>1</v>
      </c>
      <c r="M155" s="14">
        <v>2</v>
      </c>
      <c r="N155" s="14">
        <f>M155+L155+K155</f>
        <v>3</v>
      </c>
    </row>
    <row r="156" spans="1:14" x14ac:dyDescent="0.2">
      <c r="A156" s="13">
        <v>5</v>
      </c>
      <c r="B156" s="13">
        <v>32</v>
      </c>
      <c r="C156" s="15">
        <v>21.484374999999996</v>
      </c>
      <c r="D156" s="13">
        <v>0</v>
      </c>
      <c r="E156" s="13">
        <v>274.2</v>
      </c>
      <c r="F156" s="13" t="s">
        <v>7</v>
      </c>
      <c r="G156" s="14">
        <v>0</v>
      </c>
      <c r="H156" s="14">
        <v>15</v>
      </c>
      <c r="I156" s="14">
        <v>0</v>
      </c>
      <c r="J156" s="14">
        <f>K156+L156</f>
        <v>2</v>
      </c>
      <c r="K156" s="14">
        <v>2</v>
      </c>
      <c r="L156" s="14">
        <v>0</v>
      </c>
      <c r="M156" s="14">
        <v>0</v>
      </c>
      <c r="N156" s="14">
        <f>M156+L156+K156</f>
        <v>2</v>
      </c>
    </row>
    <row r="157" spans="1:14" x14ac:dyDescent="0.2">
      <c r="A157" s="13">
        <v>10</v>
      </c>
      <c r="B157" s="13">
        <v>27</v>
      </c>
      <c r="C157" s="15">
        <v>20.703124999999996</v>
      </c>
      <c r="D157" s="13">
        <v>0</v>
      </c>
      <c r="E157" s="13">
        <v>33</v>
      </c>
      <c r="F157" s="13" t="s">
        <v>7</v>
      </c>
      <c r="G157" s="14">
        <v>0</v>
      </c>
      <c r="H157" s="14">
        <v>13</v>
      </c>
      <c r="I157" s="14">
        <v>0</v>
      </c>
      <c r="J157" s="14">
        <f>K157+L157</f>
        <v>0</v>
      </c>
      <c r="K157" s="14">
        <v>0</v>
      </c>
      <c r="L157" s="14">
        <v>0</v>
      </c>
      <c r="M157" s="14">
        <v>0</v>
      </c>
      <c r="N157" s="14">
        <f>M157+L157+K157</f>
        <v>0</v>
      </c>
    </row>
    <row r="158" spans="1:14" x14ac:dyDescent="0.2">
      <c r="A158" s="13">
        <v>15</v>
      </c>
      <c r="B158" s="13">
        <v>45</v>
      </c>
      <c r="C158" s="15">
        <v>19.62826470116968</v>
      </c>
      <c r="D158" s="13">
        <v>0</v>
      </c>
      <c r="E158" s="13">
        <v>34.6</v>
      </c>
      <c r="F158" s="13" t="s">
        <v>7</v>
      </c>
      <c r="G158" s="14">
        <v>0</v>
      </c>
      <c r="H158" s="14">
        <v>13</v>
      </c>
      <c r="I158" s="14">
        <v>0</v>
      </c>
      <c r="J158" s="14">
        <f>K158+L158</f>
        <v>1</v>
      </c>
      <c r="K158" s="14">
        <v>0</v>
      </c>
      <c r="L158" s="14">
        <v>1</v>
      </c>
      <c r="M158" s="14">
        <v>1</v>
      </c>
      <c r="N158" s="14">
        <f>M158+L158+K158</f>
        <v>2</v>
      </c>
    </row>
    <row r="159" spans="1:14" x14ac:dyDescent="0.2">
      <c r="A159" s="13">
        <v>20</v>
      </c>
      <c r="B159" s="13">
        <v>20</v>
      </c>
      <c r="C159" s="15">
        <v>25.099501595611173</v>
      </c>
      <c r="D159" s="13">
        <v>0</v>
      </c>
      <c r="E159" s="13">
        <v>95.9</v>
      </c>
      <c r="F159" s="13" t="s">
        <v>7</v>
      </c>
      <c r="G159" s="14">
        <v>0</v>
      </c>
      <c r="H159" s="14">
        <v>10</v>
      </c>
      <c r="I159" s="14">
        <v>0</v>
      </c>
      <c r="J159" s="14">
        <f>K159+L159</f>
        <v>0</v>
      </c>
      <c r="K159" s="14">
        <v>0</v>
      </c>
      <c r="L159" s="14">
        <v>0</v>
      </c>
      <c r="M159" s="14">
        <v>0</v>
      </c>
      <c r="N159" s="14">
        <f>M159+L159+K159</f>
        <v>0</v>
      </c>
    </row>
    <row r="160" spans="1:14" x14ac:dyDescent="0.2">
      <c r="A160" s="13">
        <v>25</v>
      </c>
      <c r="B160" s="13">
        <v>46</v>
      </c>
      <c r="C160" s="15">
        <v>24.141519250780433</v>
      </c>
      <c r="D160" s="13">
        <v>0</v>
      </c>
      <c r="E160" s="13">
        <v>27.4</v>
      </c>
      <c r="F160" s="13">
        <v>37.799999999999997</v>
      </c>
      <c r="G160" s="14">
        <v>0</v>
      </c>
      <c r="H160" s="14">
        <v>14</v>
      </c>
      <c r="I160" s="14">
        <v>0</v>
      </c>
      <c r="J160" s="14">
        <f>K160+L160</f>
        <v>1</v>
      </c>
      <c r="K160" s="14">
        <v>0</v>
      </c>
      <c r="L160" s="14">
        <v>1</v>
      </c>
      <c r="M160" s="14">
        <v>1</v>
      </c>
      <c r="N160" s="14">
        <f>M160+L160+K160</f>
        <v>2</v>
      </c>
    </row>
    <row r="161" spans="1:14" x14ac:dyDescent="0.2">
      <c r="A161" s="13">
        <v>30</v>
      </c>
      <c r="B161" s="13">
        <v>34</v>
      </c>
      <c r="C161" s="15">
        <v>20.385611949397955</v>
      </c>
      <c r="D161" s="13">
        <v>0</v>
      </c>
      <c r="E161" s="13">
        <v>44.8</v>
      </c>
      <c r="F161" s="13" t="s">
        <v>7</v>
      </c>
      <c r="G161" s="14">
        <v>0</v>
      </c>
      <c r="H161" s="14">
        <v>13</v>
      </c>
      <c r="I161" s="14">
        <v>0</v>
      </c>
      <c r="J161" s="14">
        <f>K161+L161</f>
        <v>1</v>
      </c>
      <c r="K161" s="14">
        <v>1</v>
      </c>
      <c r="L161" s="14">
        <v>0</v>
      </c>
      <c r="M161" s="14">
        <v>0</v>
      </c>
      <c r="N161" s="14">
        <f>M161+L161+K161</f>
        <v>1</v>
      </c>
    </row>
    <row r="162" spans="1:14" x14ac:dyDescent="0.2">
      <c r="A162" s="13">
        <v>35</v>
      </c>
      <c r="B162" s="13">
        <v>23</v>
      </c>
      <c r="C162" s="15">
        <v>17.578124999999996</v>
      </c>
      <c r="D162" s="13">
        <v>0</v>
      </c>
      <c r="E162" s="13">
        <v>82</v>
      </c>
      <c r="F162" s="13" t="s">
        <v>7</v>
      </c>
      <c r="G162" s="14">
        <v>0</v>
      </c>
      <c r="H162" s="14">
        <v>11</v>
      </c>
      <c r="I162" s="14">
        <v>0</v>
      </c>
      <c r="J162" s="14">
        <f>K162+L162</f>
        <v>0</v>
      </c>
      <c r="K162" s="14">
        <v>0</v>
      </c>
      <c r="L162" s="14">
        <v>0</v>
      </c>
      <c r="M162" s="14">
        <v>0</v>
      </c>
      <c r="N162" s="14">
        <f>M162+L162+K162</f>
        <v>0</v>
      </c>
    </row>
    <row r="163" spans="1:14" x14ac:dyDescent="0.2">
      <c r="A163" s="13">
        <v>40</v>
      </c>
      <c r="B163" s="13">
        <v>28</v>
      </c>
      <c r="C163" s="15">
        <v>20.281233098972418</v>
      </c>
      <c r="D163" s="13">
        <v>0</v>
      </c>
      <c r="E163" s="13">
        <v>25.1</v>
      </c>
      <c r="F163" s="13" t="s">
        <v>7</v>
      </c>
      <c r="G163" s="14">
        <v>0</v>
      </c>
      <c r="H163" s="14">
        <v>13</v>
      </c>
      <c r="I163" s="14">
        <v>0</v>
      </c>
      <c r="J163" s="14">
        <f>K163+L163</f>
        <v>0</v>
      </c>
      <c r="K163" s="14">
        <v>0</v>
      </c>
      <c r="L163" s="14">
        <v>0</v>
      </c>
      <c r="M163" s="14">
        <v>0</v>
      </c>
      <c r="N163" s="14">
        <f>M163+L163+K163</f>
        <v>0</v>
      </c>
    </row>
    <row r="164" spans="1:14" x14ac:dyDescent="0.2">
      <c r="A164" s="13">
        <v>45</v>
      </c>
      <c r="B164" s="13">
        <v>25</v>
      </c>
      <c r="C164" s="15">
        <v>19.555555555555557</v>
      </c>
      <c r="D164" s="13">
        <v>0</v>
      </c>
      <c r="E164" s="13">
        <v>134.9</v>
      </c>
      <c r="F164" s="13" t="s">
        <v>7</v>
      </c>
      <c r="G164" s="14">
        <v>0</v>
      </c>
      <c r="H164" s="14">
        <v>13</v>
      </c>
      <c r="I164" s="14">
        <v>1</v>
      </c>
      <c r="J164" s="14">
        <f>K164+L164</f>
        <v>0</v>
      </c>
      <c r="K164" s="14">
        <v>0</v>
      </c>
      <c r="L164" s="14">
        <v>0</v>
      </c>
      <c r="M164" s="14">
        <v>0</v>
      </c>
      <c r="N164" s="14">
        <f>M164+L164+K164</f>
        <v>0</v>
      </c>
    </row>
    <row r="165" spans="1:14" x14ac:dyDescent="0.2">
      <c r="A165" s="13">
        <v>50</v>
      </c>
      <c r="B165" s="13">
        <v>33</v>
      </c>
      <c r="C165" s="15">
        <v>27.887617065556707</v>
      </c>
      <c r="D165" s="13">
        <v>0</v>
      </c>
      <c r="E165" s="13">
        <v>87.9</v>
      </c>
      <c r="F165" s="13" t="s">
        <v>7</v>
      </c>
      <c r="G165" s="14">
        <v>0</v>
      </c>
      <c r="H165" s="14">
        <v>14</v>
      </c>
      <c r="I165" s="14">
        <v>0</v>
      </c>
      <c r="J165" s="14">
        <f>K165+L165</f>
        <v>0</v>
      </c>
      <c r="K165" s="14">
        <v>0</v>
      </c>
      <c r="L165" s="14">
        <v>0</v>
      </c>
      <c r="M165" s="14">
        <v>0</v>
      </c>
      <c r="N165" s="14">
        <f>M165+L165+K165</f>
        <v>0</v>
      </c>
    </row>
    <row r="166" spans="1:14" x14ac:dyDescent="0.2">
      <c r="A166" s="13">
        <v>55</v>
      </c>
      <c r="B166" s="13">
        <v>27</v>
      </c>
      <c r="C166" s="15">
        <v>20.202020202020204</v>
      </c>
      <c r="D166" s="13">
        <v>0</v>
      </c>
      <c r="E166" s="13">
        <v>10.4</v>
      </c>
      <c r="F166" s="13">
        <v>53.6</v>
      </c>
      <c r="G166" s="14">
        <v>0</v>
      </c>
      <c r="H166" s="14">
        <v>12</v>
      </c>
      <c r="I166" s="14">
        <v>0</v>
      </c>
      <c r="J166" s="14">
        <f>K166+L166</f>
        <v>0</v>
      </c>
      <c r="K166" s="14">
        <v>0</v>
      </c>
      <c r="L166" s="14">
        <v>0</v>
      </c>
      <c r="M166" s="14">
        <v>0</v>
      </c>
      <c r="N166" s="14">
        <f>M166+L166+K166</f>
        <v>0</v>
      </c>
    </row>
    <row r="167" spans="1:14" x14ac:dyDescent="0.2">
      <c r="A167" s="13">
        <v>60</v>
      </c>
      <c r="B167" s="13">
        <v>27</v>
      </c>
      <c r="C167" s="15">
        <v>17.928215425436552</v>
      </c>
      <c r="D167" s="13">
        <v>0</v>
      </c>
      <c r="E167" s="13">
        <v>73</v>
      </c>
      <c r="F167" s="13">
        <v>45.1</v>
      </c>
      <c r="G167" s="14">
        <v>0</v>
      </c>
      <c r="H167" s="14">
        <v>13</v>
      </c>
      <c r="I167" s="14">
        <v>0</v>
      </c>
      <c r="J167" s="14">
        <f>K167+L167</f>
        <v>0</v>
      </c>
      <c r="K167" s="14">
        <v>0</v>
      </c>
      <c r="L167" s="14">
        <v>0</v>
      </c>
      <c r="M167" s="14">
        <v>0</v>
      </c>
      <c r="N167" s="14">
        <f>M167+L167+K167</f>
        <v>0</v>
      </c>
    </row>
    <row r="168" spans="1:14" x14ac:dyDescent="0.2">
      <c r="A168" s="13">
        <v>65</v>
      </c>
      <c r="B168" s="13">
        <v>27</v>
      </c>
      <c r="C168" s="15">
        <v>18.359374999999996</v>
      </c>
      <c r="D168" s="13">
        <v>0</v>
      </c>
      <c r="E168" s="13">
        <v>22.6</v>
      </c>
      <c r="F168" s="13">
        <v>27.4</v>
      </c>
      <c r="G168" s="14">
        <v>0</v>
      </c>
      <c r="H168" s="14">
        <v>13</v>
      </c>
      <c r="I168" s="14">
        <v>0</v>
      </c>
      <c r="J168" s="14">
        <f>K168+L168</f>
        <v>0</v>
      </c>
      <c r="K168" s="14">
        <v>0</v>
      </c>
      <c r="L168" s="14">
        <v>0</v>
      </c>
      <c r="M168" s="14">
        <v>0</v>
      </c>
      <c r="N168" s="14">
        <f>M168+L168+K168</f>
        <v>0</v>
      </c>
    </row>
    <row r="169" spans="1:14" x14ac:dyDescent="0.2">
      <c r="A169" s="13">
        <v>70</v>
      </c>
      <c r="B169" s="13">
        <v>28</v>
      </c>
      <c r="C169" s="15">
        <v>24.973985431841829</v>
      </c>
      <c r="D169" s="13">
        <v>0</v>
      </c>
      <c r="E169" s="13">
        <v>19.8</v>
      </c>
      <c r="F169" s="13">
        <v>29.7</v>
      </c>
      <c r="G169" s="14">
        <v>0</v>
      </c>
      <c r="H169" s="14">
        <v>14</v>
      </c>
      <c r="I169" s="14">
        <v>0</v>
      </c>
      <c r="J169" s="14">
        <f>K169+L169</f>
        <v>0</v>
      </c>
      <c r="K169" s="14">
        <v>0</v>
      </c>
      <c r="L169" s="14">
        <v>0</v>
      </c>
      <c r="M169" s="14">
        <v>0</v>
      </c>
      <c r="N169" s="14">
        <f>M169+L169+K169</f>
        <v>0</v>
      </c>
    </row>
    <row r="170" spans="1:14" x14ac:dyDescent="0.2">
      <c r="A170" s="13">
        <v>75</v>
      </c>
      <c r="B170" s="13">
        <v>38</v>
      </c>
      <c r="C170" s="15">
        <v>26.672763298277697</v>
      </c>
      <c r="D170" s="13">
        <v>0</v>
      </c>
      <c r="E170" s="13">
        <v>2258.8000000000002</v>
      </c>
      <c r="F170" s="13" t="s">
        <v>7</v>
      </c>
      <c r="G170" s="14">
        <v>0</v>
      </c>
      <c r="H170" s="14">
        <v>12</v>
      </c>
      <c r="I170" s="14">
        <v>0</v>
      </c>
      <c r="J170" s="14">
        <f>K170+L170</f>
        <v>2</v>
      </c>
      <c r="K170" s="14">
        <v>0</v>
      </c>
      <c r="L170" s="14">
        <v>2</v>
      </c>
      <c r="M170" s="14">
        <v>0</v>
      </c>
      <c r="N170" s="14">
        <f>M170+L170+K170</f>
        <v>2</v>
      </c>
    </row>
    <row r="171" spans="1:14" x14ac:dyDescent="0.2">
      <c r="A171" s="13">
        <v>80</v>
      </c>
      <c r="B171" s="13">
        <v>29</v>
      </c>
      <c r="C171" s="15">
        <v>18.670934308794386</v>
      </c>
      <c r="D171" s="13">
        <v>0</v>
      </c>
      <c r="E171" s="13">
        <v>35.9</v>
      </c>
      <c r="F171" s="13">
        <v>37.9</v>
      </c>
      <c r="G171" s="14">
        <v>0</v>
      </c>
      <c r="H171" s="14">
        <v>12</v>
      </c>
      <c r="I171" s="14">
        <v>0</v>
      </c>
      <c r="J171" s="14">
        <f>K171+L171</f>
        <v>0</v>
      </c>
      <c r="K171" s="14">
        <v>0</v>
      </c>
      <c r="L171" s="14">
        <v>0</v>
      </c>
      <c r="M171" s="14">
        <v>0</v>
      </c>
      <c r="N171" s="14">
        <f>M171+L171+K171</f>
        <v>0</v>
      </c>
    </row>
    <row r="172" spans="1:14" x14ac:dyDescent="0.2">
      <c r="A172" s="13">
        <v>85</v>
      </c>
      <c r="B172" s="13">
        <v>65</v>
      </c>
      <c r="C172" s="15">
        <v>25.806451612903224</v>
      </c>
      <c r="D172" s="13">
        <v>0</v>
      </c>
      <c r="E172" s="13">
        <v>9</v>
      </c>
      <c r="F172" s="13" t="s">
        <v>7</v>
      </c>
      <c r="G172" s="14">
        <v>0</v>
      </c>
      <c r="H172" s="14">
        <v>13</v>
      </c>
      <c r="I172" s="14">
        <v>0</v>
      </c>
      <c r="J172" s="14">
        <f>K172+L172</f>
        <v>1</v>
      </c>
      <c r="K172" s="14">
        <v>0</v>
      </c>
      <c r="L172" s="14">
        <v>1</v>
      </c>
      <c r="M172" s="14">
        <v>1</v>
      </c>
      <c r="N172" s="14">
        <f>M172+L172+K172</f>
        <v>2</v>
      </c>
    </row>
    <row r="173" spans="1:14" x14ac:dyDescent="0.2">
      <c r="A173" s="13">
        <v>90</v>
      </c>
      <c r="B173" s="13">
        <v>25</v>
      </c>
      <c r="C173" s="15">
        <v>19.382144693643447</v>
      </c>
      <c r="D173" s="13">
        <v>0</v>
      </c>
      <c r="E173" s="13">
        <v>45.6</v>
      </c>
      <c r="F173" s="13" t="s">
        <v>7</v>
      </c>
      <c r="G173" s="14">
        <v>0</v>
      </c>
      <c r="H173" s="14">
        <v>14</v>
      </c>
      <c r="I173" s="14">
        <v>0</v>
      </c>
      <c r="J173" s="14">
        <f>K173+L173</f>
        <v>0</v>
      </c>
      <c r="K173" s="14">
        <v>0</v>
      </c>
      <c r="L173" s="14">
        <v>0</v>
      </c>
      <c r="M173" s="14">
        <v>0</v>
      </c>
      <c r="N173" s="14">
        <f>M173+L173+K173</f>
        <v>0</v>
      </c>
    </row>
    <row r="174" spans="1:14" x14ac:dyDescent="0.2">
      <c r="A174" s="13">
        <v>95</v>
      </c>
      <c r="B174" s="13">
        <v>34</v>
      </c>
      <c r="C174" s="15">
        <v>20.202020202020204</v>
      </c>
      <c r="D174" s="13">
        <v>0</v>
      </c>
      <c r="E174" s="13">
        <v>81</v>
      </c>
      <c r="F174" s="13" t="s">
        <v>7</v>
      </c>
      <c r="G174" s="14">
        <v>0</v>
      </c>
      <c r="H174" s="14">
        <v>12</v>
      </c>
      <c r="I174" s="14">
        <v>0</v>
      </c>
      <c r="J174" s="14">
        <f>K174+L174</f>
        <v>1</v>
      </c>
      <c r="K174" s="14">
        <v>0</v>
      </c>
      <c r="L174" s="14">
        <v>1</v>
      </c>
      <c r="M174" s="14">
        <v>1</v>
      </c>
      <c r="N174" s="14">
        <f>M174+L174+K174</f>
        <v>2</v>
      </c>
    </row>
    <row r="175" spans="1:14" x14ac:dyDescent="0.2">
      <c r="A175" s="13">
        <v>100</v>
      </c>
      <c r="B175" s="13">
        <v>29</v>
      </c>
      <c r="C175" s="15">
        <v>19.473406629072173</v>
      </c>
      <c r="D175" s="13">
        <v>0</v>
      </c>
      <c r="E175" s="13">
        <v>61.5</v>
      </c>
      <c r="F175" s="13" t="s">
        <v>7</v>
      </c>
      <c r="G175" s="14">
        <v>0</v>
      </c>
      <c r="H175" s="14">
        <v>13</v>
      </c>
      <c r="I175" s="14">
        <v>1</v>
      </c>
      <c r="J175" s="14">
        <f>K175+L175</f>
        <v>0</v>
      </c>
      <c r="K175" s="14">
        <v>0</v>
      </c>
      <c r="L175" s="14">
        <v>0</v>
      </c>
      <c r="M175" s="14">
        <v>0</v>
      </c>
      <c r="N175" s="14">
        <f>M175+L175+K175</f>
        <v>0</v>
      </c>
    </row>
    <row r="176" spans="1:14" x14ac:dyDescent="0.2">
      <c r="A176" s="13">
        <v>105</v>
      </c>
      <c r="B176" s="13">
        <v>29</v>
      </c>
      <c r="C176" s="15">
        <v>23.384353741496604</v>
      </c>
      <c r="D176" s="13">
        <v>0</v>
      </c>
      <c r="E176" s="13">
        <v>67.5</v>
      </c>
      <c r="F176" s="13" t="s">
        <v>7</v>
      </c>
      <c r="G176" s="14">
        <v>0</v>
      </c>
      <c r="H176" s="14">
        <v>12</v>
      </c>
      <c r="I176" s="14">
        <v>0</v>
      </c>
      <c r="J176" s="14">
        <f>K176+L176</f>
        <v>0</v>
      </c>
      <c r="K176" s="14">
        <v>0</v>
      </c>
      <c r="L176" s="14">
        <v>0</v>
      </c>
      <c r="M176" s="14">
        <v>0</v>
      </c>
      <c r="N176" s="14">
        <f>M176+L176+K176</f>
        <v>0</v>
      </c>
    </row>
    <row r="177" spans="1:14" x14ac:dyDescent="0.2">
      <c r="A177" s="13">
        <v>110</v>
      </c>
      <c r="B177" s="13">
        <v>42</v>
      </c>
      <c r="C177" s="15">
        <v>29.270994027135</v>
      </c>
      <c r="D177" s="13">
        <v>0</v>
      </c>
      <c r="E177" s="13">
        <v>62.1</v>
      </c>
      <c r="F177" s="13" t="s">
        <v>7</v>
      </c>
      <c r="G177" s="14">
        <v>0</v>
      </c>
      <c r="H177" s="14">
        <v>12</v>
      </c>
      <c r="I177" s="14">
        <v>0</v>
      </c>
      <c r="J177" s="14">
        <f>K177+L177</f>
        <v>1</v>
      </c>
      <c r="K177" s="14">
        <v>1</v>
      </c>
      <c r="L177" s="14">
        <v>0</v>
      </c>
      <c r="M177" s="14">
        <v>2</v>
      </c>
      <c r="N177" s="14">
        <f>M177+L177+K177</f>
        <v>3</v>
      </c>
    </row>
    <row r="178" spans="1:14" x14ac:dyDescent="0.2">
      <c r="A178" s="13">
        <v>115</v>
      </c>
      <c r="B178" s="13">
        <v>26</v>
      </c>
      <c r="C178" s="15">
        <v>18.289894833104707</v>
      </c>
      <c r="D178" s="13">
        <v>0</v>
      </c>
      <c r="E178" s="13">
        <v>35.200000000000003</v>
      </c>
      <c r="F178" s="13">
        <v>55.7</v>
      </c>
      <c r="G178" s="14">
        <v>0</v>
      </c>
      <c r="H178" s="14">
        <v>14</v>
      </c>
      <c r="I178" s="14">
        <v>0</v>
      </c>
      <c r="J178" s="14">
        <f>K178+L178</f>
        <v>0</v>
      </c>
      <c r="K178" s="14">
        <v>0</v>
      </c>
      <c r="L178" s="14">
        <v>0</v>
      </c>
      <c r="M178" s="14">
        <v>0</v>
      </c>
      <c r="N178" s="14">
        <f>M178+L178+K178</f>
        <v>0</v>
      </c>
    </row>
    <row r="179" spans="1:14" x14ac:dyDescent="0.2">
      <c r="A179" s="13">
        <v>120</v>
      </c>
      <c r="B179" s="13">
        <v>32</v>
      </c>
      <c r="C179" s="15">
        <v>22.03856749311295</v>
      </c>
      <c r="D179" s="13">
        <v>0</v>
      </c>
      <c r="E179" s="13">
        <v>104.2</v>
      </c>
      <c r="F179" s="13">
        <v>38.299999999999997</v>
      </c>
      <c r="G179" s="14">
        <v>0</v>
      </c>
      <c r="H179" s="14">
        <v>12</v>
      </c>
      <c r="I179" s="14">
        <v>0</v>
      </c>
      <c r="J179" s="14">
        <f>K179+L179</f>
        <v>1</v>
      </c>
      <c r="K179" s="14">
        <v>0</v>
      </c>
      <c r="L179" s="14">
        <v>1</v>
      </c>
      <c r="M179" s="14">
        <v>1</v>
      </c>
      <c r="N179" s="14">
        <f>M179+L179+K179</f>
        <v>2</v>
      </c>
    </row>
    <row r="180" spans="1:14" x14ac:dyDescent="0.2">
      <c r="A180" s="13">
        <v>125</v>
      </c>
      <c r="B180" s="13">
        <v>32</v>
      </c>
      <c r="C180" s="15">
        <v>21.644120707596251</v>
      </c>
      <c r="D180" s="13">
        <v>0</v>
      </c>
      <c r="E180" s="13">
        <v>328.8</v>
      </c>
      <c r="F180" s="13" t="s">
        <v>7</v>
      </c>
      <c r="G180" s="14">
        <v>0</v>
      </c>
      <c r="H180" s="14">
        <v>13</v>
      </c>
      <c r="I180" s="14">
        <v>0</v>
      </c>
      <c r="J180" s="14">
        <f>K180+L180</f>
        <v>1</v>
      </c>
      <c r="K180" s="14">
        <v>0</v>
      </c>
      <c r="L180" s="14">
        <v>1</v>
      </c>
      <c r="M180" s="14">
        <v>0</v>
      </c>
      <c r="N180" s="14">
        <f>M180+L180+K180</f>
        <v>1</v>
      </c>
    </row>
    <row r="181" spans="1:14" x14ac:dyDescent="0.2">
      <c r="A181" s="13">
        <v>130</v>
      </c>
      <c r="B181" s="13">
        <v>56</v>
      </c>
      <c r="C181" s="15">
        <v>20.936639118457304</v>
      </c>
      <c r="D181" s="13">
        <v>0</v>
      </c>
      <c r="E181" s="13">
        <v>6.1</v>
      </c>
      <c r="F181" s="13">
        <v>2.4</v>
      </c>
      <c r="G181" s="14">
        <v>0</v>
      </c>
      <c r="H181" s="14">
        <v>15</v>
      </c>
      <c r="I181" s="14">
        <v>0</v>
      </c>
      <c r="J181" s="14">
        <f>K181+L181</f>
        <v>1</v>
      </c>
      <c r="K181" s="14">
        <v>1</v>
      </c>
      <c r="L181" s="14">
        <v>0</v>
      </c>
      <c r="M181" s="14">
        <v>3</v>
      </c>
      <c r="N181" s="14">
        <f>M181+L181+K181</f>
        <v>4</v>
      </c>
    </row>
    <row r="182" spans="1:14" x14ac:dyDescent="0.2">
      <c r="A182" s="13">
        <v>135</v>
      </c>
      <c r="B182" s="13">
        <v>36</v>
      </c>
      <c r="C182" s="15">
        <v>20.82999519307803</v>
      </c>
      <c r="D182" s="13">
        <v>0</v>
      </c>
      <c r="E182" s="13">
        <v>131.80000000000001</v>
      </c>
      <c r="F182" s="13" t="s">
        <v>7</v>
      </c>
      <c r="G182" s="14">
        <v>0</v>
      </c>
      <c r="H182" s="14">
        <v>12</v>
      </c>
      <c r="I182" s="14">
        <v>0</v>
      </c>
      <c r="J182" s="14">
        <f>K182+L182</f>
        <v>1</v>
      </c>
      <c r="K182" s="14">
        <v>0</v>
      </c>
      <c r="L182" s="14">
        <v>1</v>
      </c>
      <c r="M182" s="14">
        <v>1</v>
      </c>
      <c r="N182" s="14">
        <f>M182+L182+K182</f>
        <v>2</v>
      </c>
    </row>
    <row r="183" spans="1:14" x14ac:dyDescent="0.2">
      <c r="A183" s="13">
        <v>140</v>
      </c>
      <c r="B183" s="13">
        <v>37</v>
      </c>
      <c r="C183" s="15">
        <v>20.685150239512268</v>
      </c>
      <c r="D183" s="13">
        <v>0</v>
      </c>
      <c r="E183" s="13">
        <v>95.9</v>
      </c>
      <c r="F183" s="13" t="s">
        <v>7</v>
      </c>
      <c r="G183" s="14">
        <v>0</v>
      </c>
      <c r="H183" s="14">
        <v>14</v>
      </c>
      <c r="I183" s="14">
        <v>1</v>
      </c>
      <c r="J183" s="14">
        <f>K183+L183</f>
        <v>1</v>
      </c>
      <c r="K183" s="14">
        <v>1</v>
      </c>
      <c r="L183" s="14">
        <v>0</v>
      </c>
      <c r="M183" s="14">
        <v>0</v>
      </c>
      <c r="N183" s="14">
        <f>M183+L183+K183</f>
        <v>1</v>
      </c>
    </row>
    <row r="184" spans="1:14" x14ac:dyDescent="0.2">
      <c r="A184" s="13">
        <v>145</v>
      </c>
      <c r="B184" s="13">
        <v>62</v>
      </c>
      <c r="C184" s="15">
        <v>25.765713456234579</v>
      </c>
      <c r="D184" s="13">
        <v>0</v>
      </c>
      <c r="E184" s="13">
        <v>15.5</v>
      </c>
      <c r="F184" s="13" t="s">
        <v>7</v>
      </c>
      <c r="G184" s="14">
        <v>0</v>
      </c>
      <c r="H184" s="14">
        <v>15</v>
      </c>
      <c r="I184" s="14">
        <v>0</v>
      </c>
      <c r="J184" s="14">
        <f>K184+L184</f>
        <v>2</v>
      </c>
      <c r="K184" s="14">
        <v>0</v>
      </c>
      <c r="L184" s="14">
        <v>2</v>
      </c>
      <c r="M184" s="14">
        <v>1</v>
      </c>
      <c r="N184" s="14">
        <f>M184+L184+K184</f>
        <v>3</v>
      </c>
    </row>
    <row r="185" spans="1:14" x14ac:dyDescent="0.2">
      <c r="A185" s="13">
        <v>150</v>
      </c>
      <c r="B185" s="13">
        <v>44</v>
      </c>
      <c r="C185" s="15">
        <v>20.429418362441915</v>
      </c>
      <c r="D185" s="13">
        <v>0</v>
      </c>
      <c r="E185" s="13">
        <v>36.799999999999997</v>
      </c>
      <c r="F185" s="13" t="s">
        <v>7</v>
      </c>
      <c r="G185" s="14">
        <v>0</v>
      </c>
      <c r="H185" s="14">
        <v>13</v>
      </c>
      <c r="I185" s="14">
        <v>0</v>
      </c>
      <c r="J185" s="14">
        <f>K185+L185</f>
        <v>1</v>
      </c>
      <c r="K185" s="14">
        <v>0</v>
      </c>
      <c r="L185" s="14">
        <v>1</v>
      </c>
      <c r="M185" s="14">
        <v>2</v>
      </c>
      <c r="N185" s="14">
        <f>M185+L185+K185</f>
        <v>3</v>
      </c>
    </row>
    <row r="186" spans="1:14" x14ac:dyDescent="0.2">
      <c r="A186" s="13">
        <v>155</v>
      </c>
      <c r="B186" s="13">
        <v>35</v>
      </c>
      <c r="C186" s="15">
        <v>21.631148854350261</v>
      </c>
      <c r="D186" s="13">
        <v>0</v>
      </c>
      <c r="E186" s="13">
        <v>28.7</v>
      </c>
      <c r="F186" s="13" t="s">
        <v>7</v>
      </c>
      <c r="G186" s="14">
        <v>0</v>
      </c>
      <c r="H186" s="14">
        <v>13</v>
      </c>
      <c r="I186" s="14">
        <v>0</v>
      </c>
      <c r="J186" s="14">
        <f>K186+L186</f>
        <v>0</v>
      </c>
      <c r="K186" s="14">
        <v>0</v>
      </c>
      <c r="L186" s="14">
        <v>0</v>
      </c>
      <c r="M186" s="14">
        <v>0</v>
      </c>
      <c r="N186" s="14">
        <f>M186+L186+K186</f>
        <v>0</v>
      </c>
    </row>
    <row r="187" spans="1:14" x14ac:dyDescent="0.2">
      <c r="A187" s="13">
        <v>160</v>
      </c>
      <c r="B187" s="13">
        <v>34</v>
      </c>
      <c r="C187" s="15">
        <v>18.818924310286427</v>
      </c>
      <c r="D187" s="13">
        <v>0</v>
      </c>
      <c r="E187" s="13">
        <v>32.1</v>
      </c>
      <c r="F187" s="13" t="s">
        <v>7</v>
      </c>
      <c r="G187" s="14">
        <v>0</v>
      </c>
      <c r="H187" s="14">
        <v>13</v>
      </c>
      <c r="I187" s="14">
        <v>0</v>
      </c>
      <c r="J187" s="14">
        <f>K187+L187</f>
        <v>1</v>
      </c>
      <c r="K187" s="14">
        <v>0</v>
      </c>
      <c r="L187" s="14">
        <v>1</v>
      </c>
      <c r="M187" s="14">
        <v>1</v>
      </c>
      <c r="N187" s="14">
        <f>M187+L187+K187</f>
        <v>2</v>
      </c>
    </row>
    <row r="188" spans="1:14" x14ac:dyDescent="0.2">
      <c r="A188" s="13">
        <v>165</v>
      </c>
      <c r="B188" s="13">
        <v>41</v>
      </c>
      <c r="C188" s="15">
        <v>22.460937499999996</v>
      </c>
      <c r="D188" s="13">
        <v>0</v>
      </c>
      <c r="E188" s="13">
        <v>51.2</v>
      </c>
      <c r="F188" s="13" t="s">
        <v>7</v>
      </c>
      <c r="G188" s="14">
        <v>1</v>
      </c>
      <c r="H188" s="14">
        <v>12</v>
      </c>
      <c r="I188" s="14">
        <v>0</v>
      </c>
      <c r="J188" s="14">
        <f>K188+L188</f>
        <v>2</v>
      </c>
      <c r="K188" s="14">
        <v>2</v>
      </c>
      <c r="L188" s="14">
        <v>0</v>
      </c>
      <c r="M188" s="14">
        <v>0</v>
      </c>
      <c r="N188" s="14">
        <f>M188+L188+K188</f>
        <v>2</v>
      </c>
    </row>
    <row r="189" spans="1:14" x14ac:dyDescent="0.2">
      <c r="A189" s="13">
        <v>170</v>
      </c>
      <c r="B189" s="13">
        <v>36</v>
      </c>
      <c r="C189" s="15">
        <v>19.518408941485863</v>
      </c>
      <c r="D189" s="13">
        <v>0</v>
      </c>
      <c r="E189" s="13">
        <v>81.3</v>
      </c>
      <c r="F189" s="13" t="s">
        <v>7</v>
      </c>
      <c r="G189" s="14">
        <v>0</v>
      </c>
      <c r="H189" s="14">
        <v>14</v>
      </c>
      <c r="I189" s="14">
        <v>0</v>
      </c>
      <c r="J189" s="14">
        <f>K189+L189</f>
        <v>2</v>
      </c>
      <c r="K189" s="14">
        <v>0</v>
      </c>
      <c r="L189" s="14">
        <v>2</v>
      </c>
      <c r="M189" s="14">
        <v>0</v>
      </c>
      <c r="N189" s="14">
        <f>M189+L189+K189</f>
        <v>2</v>
      </c>
    </row>
    <row r="190" spans="1:14" x14ac:dyDescent="0.2">
      <c r="A190" s="13">
        <v>175</v>
      </c>
      <c r="B190" s="13">
        <v>34</v>
      </c>
      <c r="C190" s="15">
        <v>23.624447492760247</v>
      </c>
      <c r="D190" s="13">
        <v>0</v>
      </c>
      <c r="E190" s="13">
        <v>26.7</v>
      </c>
      <c r="F190" s="13" t="s">
        <v>7</v>
      </c>
      <c r="G190" s="14">
        <v>0</v>
      </c>
      <c r="H190" s="14">
        <v>14</v>
      </c>
      <c r="I190" s="14">
        <v>0</v>
      </c>
      <c r="J190" s="14">
        <f>K190+L190</f>
        <v>2</v>
      </c>
      <c r="K190" s="14">
        <v>2</v>
      </c>
      <c r="L190" s="14">
        <v>0</v>
      </c>
      <c r="M190" s="14">
        <v>0</v>
      </c>
      <c r="N190" s="14">
        <f>M190+L190+K190</f>
        <v>2</v>
      </c>
    </row>
    <row r="191" spans="1:14" x14ac:dyDescent="0.2">
      <c r="A191" s="13">
        <v>180</v>
      </c>
      <c r="B191" s="13">
        <v>37</v>
      </c>
      <c r="C191" s="15">
        <v>21.258503401360546</v>
      </c>
      <c r="D191" s="13">
        <v>0</v>
      </c>
      <c r="E191" s="13">
        <v>281.3</v>
      </c>
      <c r="F191" s="13" t="s">
        <v>7</v>
      </c>
      <c r="G191" s="14">
        <v>1</v>
      </c>
      <c r="H191" s="14">
        <v>12</v>
      </c>
      <c r="I191" s="14">
        <v>0</v>
      </c>
      <c r="J191" s="14">
        <f>K191+L191</f>
        <v>0</v>
      </c>
      <c r="K191" s="14">
        <v>0</v>
      </c>
      <c r="L191" s="14">
        <v>0</v>
      </c>
      <c r="M191" s="14">
        <v>0</v>
      </c>
      <c r="N191" s="14">
        <f>M191+L191+K191</f>
        <v>0</v>
      </c>
    </row>
    <row r="192" spans="1:14" x14ac:dyDescent="0.2">
      <c r="A192" s="13">
        <v>185</v>
      </c>
      <c r="B192" s="13">
        <v>36</v>
      </c>
      <c r="C192" s="15">
        <v>20.703124999999996</v>
      </c>
      <c r="D192" s="13">
        <v>0</v>
      </c>
      <c r="E192" s="13">
        <v>46.6</v>
      </c>
      <c r="F192" s="13" t="s">
        <v>7</v>
      </c>
      <c r="G192" s="14">
        <v>0</v>
      </c>
      <c r="H192" s="14">
        <v>13</v>
      </c>
      <c r="I192" s="14">
        <v>0</v>
      </c>
      <c r="J192" s="14">
        <f>K192+L192</f>
        <v>1</v>
      </c>
      <c r="K192" s="14">
        <v>0</v>
      </c>
      <c r="L192" s="14">
        <v>1</v>
      </c>
      <c r="M192" s="14">
        <v>2</v>
      </c>
      <c r="N192" s="14">
        <f>M192+L192+K192</f>
        <v>3</v>
      </c>
    </row>
    <row r="193" spans="1:14" x14ac:dyDescent="0.2">
      <c r="A193" s="13">
        <v>190</v>
      </c>
      <c r="B193" s="13">
        <v>42</v>
      </c>
      <c r="C193" s="15">
        <v>22.656249999999996</v>
      </c>
      <c r="D193" s="13">
        <v>0</v>
      </c>
      <c r="E193" s="13">
        <v>44.2</v>
      </c>
      <c r="F193" s="13" t="s">
        <v>7</v>
      </c>
      <c r="G193" s="14">
        <v>0</v>
      </c>
      <c r="H193" s="14">
        <v>14</v>
      </c>
      <c r="I193" s="14">
        <v>0</v>
      </c>
      <c r="J193" s="14">
        <f>K193+L193</f>
        <v>1</v>
      </c>
      <c r="K193" s="14">
        <v>0</v>
      </c>
      <c r="L193" s="14">
        <v>1</v>
      </c>
      <c r="M193" s="14">
        <v>1</v>
      </c>
      <c r="N193" s="14">
        <f>M193+L193+K193</f>
        <v>2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7A38-6DD1-4078-941A-CFE9C9007EB8}">
  <dimension ref="A1:E193"/>
  <sheetViews>
    <sheetView workbookViewId="0">
      <selection activeCell="A2" sqref="A2:E193"/>
    </sheetView>
  </sheetViews>
  <sheetFormatPr defaultRowHeight="14.25" x14ac:dyDescent="0.2"/>
  <cols>
    <col min="1" max="1" width="7.75" style="16" customWidth="1"/>
    <col min="2" max="2" width="7.75" style="17" customWidth="1"/>
    <col min="3" max="3" width="7.75" style="12" customWidth="1"/>
    <col min="4" max="4" width="7.25" style="18" customWidth="1"/>
    <col min="5" max="5" width="7.25" style="19" customWidth="1"/>
  </cols>
  <sheetData>
    <row r="1" spans="1:5" x14ac:dyDescent="0.2">
      <c r="A1" s="16" t="s">
        <v>1</v>
      </c>
      <c r="B1" s="17" t="s">
        <v>2</v>
      </c>
      <c r="C1" s="12" t="s">
        <v>3</v>
      </c>
      <c r="D1" s="18" t="s">
        <v>4</v>
      </c>
      <c r="E1" s="19" t="s">
        <v>5</v>
      </c>
    </row>
    <row r="2" spans="1:5" x14ac:dyDescent="0.2">
      <c r="A2" s="16">
        <f>B2+C2</f>
        <v>0</v>
      </c>
      <c r="B2" s="20">
        <v>0</v>
      </c>
      <c r="C2" s="21">
        <v>0</v>
      </c>
      <c r="D2" s="22">
        <v>1</v>
      </c>
      <c r="E2" s="19">
        <f>D2+C2+B2</f>
        <v>1</v>
      </c>
    </row>
    <row r="3" spans="1:5" x14ac:dyDescent="0.2">
      <c r="A3" s="16">
        <f>B3+C3</f>
        <v>0</v>
      </c>
      <c r="B3" s="20">
        <v>0</v>
      </c>
      <c r="C3" s="21">
        <v>0</v>
      </c>
      <c r="D3" s="22">
        <v>0</v>
      </c>
      <c r="E3" s="19">
        <f>D3+C3+B3</f>
        <v>0</v>
      </c>
    </row>
    <row r="4" spans="1:5" x14ac:dyDescent="0.2">
      <c r="A4" s="16">
        <f>B4+C4</f>
        <v>0</v>
      </c>
      <c r="B4" s="20">
        <v>0</v>
      </c>
      <c r="C4" s="21">
        <v>0</v>
      </c>
      <c r="D4" s="22">
        <v>0</v>
      </c>
      <c r="E4" s="19">
        <f>D4+C4+B4</f>
        <v>0</v>
      </c>
    </row>
    <row r="5" spans="1:5" x14ac:dyDescent="0.2">
      <c r="A5" s="16">
        <f>B5+C5</f>
        <v>0</v>
      </c>
      <c r="B5" s="20">
        <v>0</v>
      </c>
      <c r="C5" s="21">
        <v>0</v>
      </c>
      <c r="D5" s="22">
        <v>0</v>
      </c>
      <c r="E5" s="19">
        <f>D5+C5+B5</f>
        <v>0</v>
      </c>
    </row>
    <row r="6" spans="1:5" x14ac:dyDescent="0.2">
      <c r="A6" s="16">
        <f>B6+C6</f>
        <v>0</v>
      </c>
      <c r="B6" s="20">
        <v>0</v>
      </c>
      <c r="C6" s="21">
        <v>0</v>
      </c>
      <c r="D6" s="22">
        <v>0</v>
      </c>
      <c r="E6" s="19">
        <f>D6+C6+B6</f>
        <v>0</v>
      </c>
    </row>
    <row r="7" spans="1:5" x14ac:dyDescent="0.2">
      <c r="A7" s="16">
        <f>B7+C7</f>
        <v>2</v>
      </c>
      <c r="B7" s="20">
        <v>2</v>
      </c>
      <c r="C7" s="21">
        <v>0</v>
      </c>
      <c r="D7" s="22">
        <v>4</v>
      </c>
      <c r="E7" s="19">
        <f>D7+C7+B7</f>
        <v>6</v>
      </c>
    </row>
    <row r="8" spans="1:5" x14ac:dyDescent="0.2">
      <c r="A8" s="16">
        <f>B8+C8</f>
        <v>1</v>
      </c>
      <c r="B8" s="20">
        <v>0</v>
      </c>
      <c r="C8" s="21">
        <v>1</v>
      </c>
      <c r="D8" s="22">
        <v>3</v>
      </c>
      <c r="E8" s="19">
        <f>D8+C8+B8</f>
        <v>4</v>
      </c>
    </row>
    <row r="9" spans="1:5" x14ac:dyDescent="0.2">
      <c r="A9" s="16">
        <f>B9+C9</f>
        <v>1</v>
      </c>
      <c r="B9" s="20">
        <v>1</v>
      </c>
      <c r="C9" s="21">
        <v>0</v>
      </c>
      <c r="D9" s="22">
        <v>1</v>
      </c>
      <c r="E9" s="19">
        <f>D9+C9+B9</f>
        <v>2</v>
      </c>
    </row>
    <row r="10" spans="1:5" x14ac:dyDescent="0.2">
      <c r="A10" s="16">
        <f>B10+C10</f>
        <v>0</v>
      </c>
      <c r="B10" s="20">
        <v>0</v>
      </c>
      <c r="C10" s="21">
        <v>0</v>
      </c>
      <c r="D10" s="22">
        <v>0</v>
      </c>
      <c r="E10" s="19">
        <f>D10+C10+B10</f>
        <v>0</v>
      </c>
    </row>
    <row r="11" spans="1:5" x14ac:dyDescent="0.2">
      <c r="A11" s="16">
        <f>B11+C11</f>
        <v>4</v>
      </c>
      <c r="B11" s="20">
        <v>0</v>
      </c>
      <c r="C11" s="21">
        <v>4</v>
      </c>
      <c r="D11" s="22">
        <v>2</v>
      </c>
      <c r="E11" s="19">
        <f>D11+C11+B11</f>
        <v>6</v>
      </c>
    </row>
    <row r="12" spans="1:5" x14ac:dyDescent="0.2">
      <c r="A12" s="16">
        <f>B12+C12</f>
        <v>2</v>
      </c>
      <c r="B12" s="20">
        <v>0</v>
      </c>
      <c r="C12" s="21">
        <v>2</v>
      </c>
      <c r="D12" s="22">
        <v>1</v>
      </c>
      <c r="E12" s="19">
        <f>D12+C12+B12</f>
        <v>3</v>
      </c>
    </row>
    <row r="13" spans="1:5" x14ac:dyDescent="0.2">
      <c r="A13" s="16">
        <f>B13+C13</f>
        <v>0</v>
      </c>
      <c r="B13" s="20">
        <v>0</v>
      </c>
      <c r="C13" s="21">
        <v>0</v>
      </c>
      <c r="D13" s="22">
        <v>0</v>
      </c>
      <c r="E13" s="19">
        <f>D13+C13+B13</f>
        <v>0</v>
      </c>
    </row>
    <row r="14" spans="1:5" x14ac:dyDescent="0.2">
      <c r="A14" s="16">
        <f>B14+C14</f>
        <v>0</v>
      </c>
      <c r="B14" s="17">
        <v>0</v>
      </c>
      <c r="C14" s="12">
        <v>0</v>
      </c>
      <c r="D14" s="18">
        <v>0</v>
      </c>
      <c r="E14" s="19">
        <f>D14+C14+B14</f>
        <v>0</v>
      </c>
    </row>
    <row r="15" spans="1:5" x14ac:dyDescent="0.2">
      <c r="A15" s="16">
        <f>B15+C15</f>
        <v>0</v>
      </c>
      <c r="B15" s="20">
        <v>0</v>
      </c>
      <c r="C15" s="21">
        <v>0</v>
      </c>
      <c r="D15" s="22">
        <v>0</v>
      </c>
      <c r="E15" s="19">
        <f>D15+C15+B15</f>
        <v>0</v>
      </c>
    </row>
    <row r="16" spans="1:5" x14ac:dyDescent="0.2">
      <c r="A16" s="16">
        <f>B16+C16</f>
        <v>0</v>
      </c>
      <c r="B16" s="17">
        <v>0</v>
      </c>
      <c r="C16" s="12">
        <v>0</v>
      </c>
      <c r="D16" s="18">
        <v>0</v>
      </c>
      <c r="E16" s="19">
        <f>D16+C16+B16</f>
        <v>0</v>
      </c>
    </row>
    <row r="17" spans="1:5" x14ac:dyDescent="0.2">
      <c r="A17" s="16">
        <f>B17+C17</f>
        <v>0</v>
      </c>
      <c r="B17" s="17">
        <v>0</v>
      </c>
      <c r="C17" s="12">
        <v>0</v>
      </c>
      <c r="D17" s="18">
        <v>0</v>
      </c>
      <c r="E17" s="19">
        <f>D17+C17+B17</f>
        <v>0</v>
      </c>
    </row>
    <row r="18" spans="1:5" x14ac:dyDescent="0.2">
      <c r="A18" s="16">
        <f>B18+C18</f>
        <v>0</v>
      </c>
      <c r="B18" s="17">
        <v>0</v>
      </c>
      <c r="C18" s="12">
        <v>0</v>
      </c>
      <c r="D18" s="18">
        <v>0</v>
      </c>
      <c r="E18" s="19">
        <f>D18+C18+B18</f>
        <v>0</v>
      </c>
    </row>
    <row r="19" spans="1:5" x14ac:dyDescent="0.2">
      <c r="A19" s="16">
        <f>B19+C19</f>
        <v>1</v>
      </c>
      <c r="B19" s="17">
        <v>1</v>
      </c>
      <c r="C19" s="12">
        <v>0</v>
      </c>
      <c r="D19" s="18">
        <v>0</v>
      </c>
      <c r="E19" s="19">
        <f>D19+C19+B19</f>
        <v>1</v>
      </c>
    </row>
    <row r="20" spans="1:5" x14ac:dyDescent="0.2">
      <c r="A20" s="16">
        <f>B20+C20</f>
        <v>0</v>
      </c>
      <c r="B20" s="17">
        <v>0</v>
      </c>
      <c r="C20" s="12">
        <v>0</v>
      </c>
      <c r="D20" s="18">
        <v>0</v>
      </c>
      <c r="E20" s="19">
        <f>D20+C20+B20</f>
        <v>0</v>
      </c>
    </row>
    <row r="21" spans="1:5" x14ac:dyDescent="0.2">
      <c r="A21" s="16">
        <f>B21+C21</f>
        <v>2</v>
      </c>
      <c r="B21" s="17">
        <v>0</v>
      </c>
      <c r="C21" s="12">
        <v>2</v>
      </c>
      <c r="D21" s="18">
        <v>2</v>
      </c>
      <c r="E21" s="19">
        <f>D21+C21+B21</f>
        <v>4</v>
      </c>
    </row>
    <row r="22" spans="1:5" x14ac:dyDescent="0.2">
      <c r="A22" s="16">
        <f>B22+C22</f>
        <v>0</v>
      </c>
      <c r="B22" s="17">
        <v>0</v>
      </c>
      <c r="C22" s="12">
        <v>0</v>
      </c>
      <c r="D22" s="18">
        <v>0</v>
      </c>
      <c r="E22" s="19">
        <f>D22+C22+B22</f>
        <v>0</v>
      </c>
    </row>
    <row r="23" spans="1:5" x14ac:dyDescent="0.2">
      <c r="A23" s="16">
        <f>B23+C23</f>
        <v>0</v>
      </c>
      <c r="B23" s="17">
        <v>0</v>
      </c>
      <c r="C23" s="12">
        <v>0</v>
      </c>
      <c r="D23" s="18">
        <v>0</v>
      </c>
      <c r="E23" s="19">
        <f>D23+C23+B23</f>
        <v>0</v>
      </c>
    </row>
    <row r="24" spans="1:5" x14ac:dyDescent="0.2">
      <c r="A24" s="16">
        <f>B24+C24</f>
        <v>1</v>
      </c>
      <c r="B24" s="17">
        <v>0</v>
      </c>
      <c r="C24" s="12">
        <v>1</v>
      </c>
      <c r="D24" s="18">
        <v>0</v>
      </c>
      <c r="E24" s="19">
        <f>D24+C24+B24</f>
        <v>1</v>
      </c>
    </row>
    <row r="25" spans="1:5" x14ac:dyDescent="0.2">
      <c r="A25" s="16">
        <f>B25+C25</f>
        <v>1</v>
      </c>
      <c r="B25" s="17">
        <v>0</v>
      </c>
      <c r="C25" s="12">
        <v>1</v>
      </c>
      <c r="D25" s="18">
        <v>1</v>
      </c>
      <c r="E25" s="19">
        <f>D25+C25+B25</f>
        <v>2</v>
      </c>
    </row>
    <row r="26" spans="1:5" x14ac:dyDescent="0.2">
      <c r="A26" s="16">
        <f>B26+C26</f>
        <v>2</v>
      </c>
      <c r="B26" s="17">
        <v>0</v>
      </c>
      <c r="C26" s="12">
        <v>2</v>
      </c>
      <c r="D26" s="18">
        <v>0</v>
      </c>
      <c r="E26" s="19">
        <f>D26+C26+B26</f>
        <v>2</v>
      </c>
    </row>
    <row r="27" spans="1:5" x14ac:dyDescent="0.2">
      <c r="A27" s="16">
        <f>B27+C27</f>
        <v>2</v>
      </c>
      <c r="B27" s="17">
        <v>0</v>
      </c>
      <c r="C27" s="12">
        <v>2</v>
      </c>
      <c r="D27" s="18">
        <v>1</v>
      </c>
      <c r="E27" s="19">
        <f>D27+C27+B27</f>
        <v>3</v>
      </c>
    </row>
    <row r="28" spans="1:5" x14ac:dyDescent="0.2">
      <c r="A28" s="16">
        <f>B28+C28</f>
        <v>0</v>
      </c>
      <c r="B28" s="17">
        <v>0</v>
      </c>
      <c r="C28" s="12">
        <v>0</v>
      </c>
      <c r="D28" s="18">
        <v>0</v>
      </c>
      <c r="E28" s="19">
        <f>D28+C28+B28</f>
        <v>0</v>
      </c>
    </row>
    <row r="29" spans="1:5" x14ac:dyDescent="0.2">
      <c r="A29" s="16">
        <f>B29+C29</f>
        <v>1</v>
      </c>
      <c r="B29" s="17">
        <v>0</v>
      </c>
      <c r="C29" s="12">
        <v>1</v>
      </c>
      <c r="D29" s="18">
        <v>0</v>
      </c>
      <c r="E29" s="19">
        <f>D29+C29+B29</f>
        <v>1</v>
      </c>
    </row>
    <row r="30" spans="1:5" x14ac:dyDescent="0.2">
      <c r="A30" s="16">
        <f>B30+C30</f>
        <v>0</v>
      </c>
      <c r="B30" s="17">
        <v>0</v>
      </c>
      <c r="C30" s="12">
        <v>0</v>
      </c>
      <c r="D30" s="18">
        <v>0</v>
      </c>
      <c r="E30" s="19">
        <f>D30+C30+B30</f>
        <v>0</v>
      </c>
    </row>
    <row r="31" spans="1:5" x14ac:dyDescent="0.2">
      <c r="A31" s="16">
        <f>B31+C31</f>
        <v>2</v>
      </c>
      <c r="B31" s="17">
        <v>2</v>
      </c>
      <c r="C31" s="12">
        <v>0</v>
      </c>
      <c r="D31" s="18">
        <v>1</v>
      </c>
      <c r="E31" s="19">
        <f>D31+C31+B31</f>
        <v>3</v>
      </c>
    </row>
    <row r="32" spans="1:5" x14ac:dyDescent="0.2">
      <c r="A32" s="16">
        <f>B32+C32</f>
        <v>1</v>
      </c>
      <c r="B32" s="17">
        <v>1</v>
      </c>
      <c r="C32" s="12">
        <v>0</v>
      </c>
      <c r="D32" s="18">
        <v>1</v>
      </c>
      <c r="E32" s="19">
        <f>D32+C32+B32</f>
        <v>2</v>
      </c>
    </row>
    <row r="33" spans="1:5" x14ac:dyDescent="0.2">
      <c r="A33" s="16">
        <f>B33+C33</f>
        <v>0</v>
      </c>
      <c r="B33" s="17">
        <v>0</v>
      </c>
      <c r="C33" s="12">
        <v>0</v>
      </c>
      <c r="D33" s="18">
        <v>0</v>
      </c>
      <c r="E33" s="19">
        <f>D33+C33+B33</f>
        <v>0</v>
      </c>
    </row>
    <row r="34" spans="1:5" x14ac:dyDescent="0.2">
      <c r="A34" s="16">
        <f>B34+C34</f>
        <v>0</v>
      </c>
      <c r="B34" s="17">
        <v>0</v>
      </c>
      <c r="C34" s="12">
        <v>0</v>
      </c>
      <c r="D34" s="18">
        <v>0</v>
      </c>
      <c r="E34" s="19">
        <f>D34+C34+B34</f>
        <v>0</v>
      </c>
    </row>
    <row r="35" spans="1:5" x14ac:dyDescent="0.2">
      <c r="A35" s="16">
        <f>B35+C35</f>
        <v>1</v>
      </c>
      <c r="B35" s="17">
        <v>1</v>
      </c>
      <c r="C35" s="12">
        <v>0</v>
      </c>
      <c r="D35" s="18">
        <v>5</v>
      </c>
      <c r="E35" s="19">
        <f>D35+C35+B35</f>
        <v>6</v>
      </c>
    </row>
    <row r="36" spans="1:5" x14ac:dyDescent="0.2">
      <c r="A36" s="16">
        <f>B36+C36</f>
        <v>1</v>
      </c>
      <c r="B36" s="17">
        <v>1</v>
      </c>
      <c r="C36" s="12">
        <v>0</v>
      </c>
      <c r="D36" s="18">
        <v>2</v>
      </c>
      <c r="E36" s="19">
        <f>D36+C36+B36</f>
        <v>3</v>
      </c>
    </row>
    <row r="37" spans="1:5" x14ac:dyDescent="0.2">
      <c r="A37" s="16">
        <f>B37+C37</f>
        <v>1</v>
      </c>
      <c r="B37" s="17">
        <v>0</v>
      </c>
      <c r="C37" s="12">
        <v>1</v>
      </c>
      <c r="D37" s="18">
        <v>0</v>
      </c>
      <c r="E37" s="19">
        <f>D37+C37+B37</f>
        <v>1</v>
      </c>
    </row>
    <row r="38" spans="1:5" x14ac:dyDescent="0.2">
      <c r="A38" s="16">
        <f>B38+C38</f>
        <v>0</v>
      </c>
      <c r="B38" s="17">
        <v>0</v>
      </c>
      <c r="C38" s="12">
        <v>0</v>
      </c>
      <c r="D38" s="18">
        <v>0</v>
      </c>
      <c r="E38" s="19">
        <f>D38+C38+B38</f>
        <v>0</v>
      </c>
    </row>
    <row r="39" spans="1:5" x14ac:dyDescent="0.2">
      <c r="A39" s="16">
        <f>B39+C39</f>
        <v>0</v>
      </c>
      <c r="B39" s="17">
        <v>0</v>
      </c>
      <c r="C39" s="12">
        <v>0</v>
      </c>
      <c r="D39" s="18">
        <v>0</v>
      </c>
      <c r="E39" s="19">
        <f>D39+C39+B39</f>
        <v>0</v>
      </c>
    </row>
    <row r="40" spans="1:5" x14ac:dyDescent="0.2">
      <c r="A40" s="16">
        <f>B40+C40</f>
        <v>0</v>
      </c>
      <c r="B40" s="17">
        <v>0</v>
      </c>
      <c r="C40" s="12">
        <v>0</v>
      </c>
      <c r="D40" s="18">
        <v>0</v>
      </c>
      <c r="E40" s="19">
        <f>D40+C40+B40</f>
        <v>0</v>
      </c>
    </row>
    <row r="41" spans="1:5" x14ac:dyDescent="0.2">
      <c r="A41" s="16">
        <f>B41+C41</f>
        <v>0</v>
      </c>
      <c r="B41" s="17">
        <v>0</v>
      </c>
      <c r="C41" s="12">
        <v>0</v>
      </c>
      <c r="D41" s="18">
        <v>0</v>
      </c>
      <c r="E41" s="19">
        <f>D41+C41+B41</f>
        <v>0</v>
      </c>
    </row>
    <row r="42" spans="1:5" x14ac:dyDescent="0.2">
      <c r="A42" s="16">
        <f>B42+C42</f>
        <v>1</v>
      </c>
      <c r="B42" s="17">
        <v>0</v>
      </c>
      <c r="C42" s="12">
        <v>1</v>
      </c>
      <c r="D42" s="18">
        <v>0</v>
      </c>
      <c r="E42" s="19">
        <f>D42+C42+B42</f>
        <v>1</v>
      </c>
    </row>
    <row r="43" spans="1:5" x14ac:dyDescent="0.2">
      <c r="A43" s="16">
        <f>B43+C43</f>
        <v>1</v>
      </c>
      <c r="B43" s="17">
        <v>0</v>
      </c>
      <c r="C43" s="12">
        <v>1</v>
      </c>
      <c r="D43" s="18">
        <v>2</v>
      </c>
      <c r="E43" s="19">
        <f>D43+C43+B43</f>
        <v>3</v>
      </c>
    </row>
    <row r="44" spans="1:5" x14ac:dyDescent="0.2">
      <c r="A44" s="16">
        <f>B44+C44</f>
        <v>0</v>
      </c>
      <c r="B44" s="17">
        <v>0</v>
      </c>
      <c r="C44" s="12">
        <v>0</v>
      </c>
      <c r="D44" s="18">
        <v>0</v>
      </c>
      <c r="E44" s="19">
        <f>D44+C44+B44</f>
        <v>0</v>
      </c>
    </row>
    <row r="45" spans="1:5" x14ac:dyDescent="0.2">
      <c r="A45" s="16">
        <f>B45+C45</f>
        <v>1</v>
      </c>
      <c r="B45" s="17">
        <v>1</v>
      </c>
      <c r="C45" s="12">
        <v>0</v>
      </c>
      <c r="D45" s="18">
        <v>1</v>
      </c>
      <c r="E45" s="19">
        <f>D45+C45+B45</f>
        <v>2</v>
      </c>
    </row>
    <row r="46" spans="1:5" x14ac:dyDescent="0.2">
      <c r="A46" s="16">
        <f>B46+C46</f>
        <v>0</v>
      </c>
      <c r="B46" s="17">
        <v>0</v>
      </c>
      <c r="C46" s="12">
        <v>0</v>
      </c>
      <c r="D46" s="18">
        <v>0</v>
      </c>
      <c r="E46" s="19">
        <f>D46+C46+B46</f>
        <v>0</v>
      </c>
    </row>
    <row r="47" spans="1:5" x14ac:dyDescent="0.2">
      <c r="A47" s="16">
        <f>B47+C47</f>
        <v>0</v>
      </c>
      <c r="B47" s="17">
        <v>0</v>
      </c>
      <c r="C47" s="12">
        <v>0</v>
      </c>
      <c r="D47" s="18">
        <v>0</v>
      </c>
      <c r="E47" s="19">
        <f>D47+C47+B47</f>
        <v>0</v>
      </c>
    </row>
    <row r="48" spans="1:5" x14ac:dyDescent="0.2">
      <c r="A48" s="16">
        <f>B48+C48</f>
        <v>0</v>
      </c>
      <c r="B48" s="20">
        <v>0</v>
      </c>
      <c r="C48" s="21">
        <v>0</v>
      </c>
      <c r="D48" s="22">
        <v>0</v>
      </c>
      <c r="E48" s="19">
        <f>D48+C48+B48</f>
        <v>0</v>
      </c>
    </row>
    <row r="49" spans="1:5" x14ac:dyDescent="0.2">
      <c r="A49" s="16">
        <f>B49+C49</f>
        <v>0</v>
      </c>
      <c r="B49" s="17">
        <v>0</v>
      </c>
      <c r="C49" s="12">
        <v>0</v>
      </c>
      <c r="D49" s="18">
        <v>0</v>
      </c>
      <c r="E49" s="19">
        <f>D49+C49+B49</f>
        <v>0</v>
      </c>
    </row>
    <row r="50" spans="1:5" x14ac:dyDescent="0.2">
      <c r="A50" s="16">
        <f>B50+C50</f>
        <v>0</v>
      </c>
      <c r="B50" s="17">
        <v>0</v>
      </c>
      <c r="C50" s="12">
        <v>0</v>
      </c>
      <c r="D50" s="18">
        <v>0</v>
      </c>
      <c r="E50" s="19">
        <f>D50+C50+B50</f>
        <v>0</v>
      </c>
    </row>
    <row r="51" spans="1:5" x14ac:dyDescent="0.2">
      <c r="A51" s="16">
        <f>B51+C51</f>
        <v>0</v>
      </c>
      <c r="B51" s="17">
        <v>0</v>
      </c>
      <c r="C51" s="12">
        <v>0</v>
      </c>
      <c r="D51" s="18">
        <v>0</v>
      </c>
      <c r="E51" s="19">
        <f>D51+C51+B51</f>
        <v>0</v>
      </c>
    </row>
    <row r="52" spans="1:5" x14ac:dyDescent="0.2">
      <c r="A52" s="16">
        <f>B52+C52</f>
        <v>0</v>
      </c>
      <c r="B52" s="17">
        <v>0</v>
      </c>
      <c r="C52" s="12">
        <v>0</v>
      </c>
      <c r="D52" s="18">
        <v>0</v>
      </c>
      <c r="E52" s="19">
        <f>D52+C52+B52</f>
        <v>0</v>
      </c>
    </row>
    <row r="53" spans="1:5" x14ac:dyDescent="0.2">
      <c r="A53" s="16">
        <f>B53+C53</f>
        <v>0</v>
      </c>
      <c r="B53" s="17">
        <v>0</v>
      </c>
      <c r="C53" s="12">
        <v>0</v>
      </c>
      <c r="D53" s="18">
        <v>0</v>
      </c>
      <c r="E53" s="19">
        <f>D53+C53+B53</f>
        <v>0</v>
      </c>
    </row>
    <row r="54" spans="1:5" x14ac:dyDescent="0.2">
      <c r="A54" s="16">
        <f>B54+C54</f>
        <v>0</v>
      </c>
      <c r="B54" s="17">
        <v>0</v>
      </c>
      <c r="C54" s="12">
        <v>0</v>
      </c>
      <c r="D54" s="18">
        <v>0</v>
      </c>
      <c r="E54" s="19">
        <f>D54+C54+B54</f>
        <v>0</v>
      </c>
    </row>
    <row r="55" spans="1:5" x14ac:dyDescent="0.2">
      <c r="A55" s="16">
        <f>B55+C55</f>
        <v>1</v>
      </c>
      <c r="B55" s="17">
        <v>0</v>
      </c>
      <c r="C55" s="12">
        <v>1</v>
      </c>
      <c r="D55" s="18">
        <v>0</v>
      </c>
      <c r="E55" s="19">
        <f>D55+C55+B55</f>
        <v>1</v>
      </c>
    </row>
    <row r="56" spans="1:5" x14ac:dyDescent="0.2">
      <c r="A56" s="16">
        <f>B56+C56</f>
        <v>0</v>
      </c>
      <c r="B56" s="17">
        <v>0</v>
      </c>
      <c r="C56" s="12">
        <v>0</v>
      </c>
      <c r="D56" s="18">
        <v>0</v>
      </c>
      <c r="E56" s="19">
        <f>D56+C56+B56</f>
        <v>0</v>
      </c>
    </row>
    <row r="57" spans="1:5" x14ac:dyDescent="0.2">
      <c r="A57" s="16">
        <f>B57+C57</f>
        <v>0</v>
      </c>
      <c r="B57" s="17">
        <v>0</v>
      </c>
      <c r="C57" s="12">
        <v>0</v>
      </c>
      <c r="D57" s="18">
        <v>1</v>
      </c>
      <c r="E57" s="19">
        <f>D57+C57+B57</f>
        <v>1</v>
      </c>
    </row>
    <row r="58" spans="1:5" x14ac:dyDescent="0.2">
      <c r="A58" s="16">
        <f>B58+C58</f>
        <v>2</v>
      </c>
      <c r="B58" s="17">
        <v>2</v>
      </c>
      <c r="C58" s="12">
        <v>0</v>
      </c>
      <c r="D58" s="18">
        <v>0</v>
      </c>
      <c r="E58" s="19">
        <f>D58+C58+B58</f>
        <v>2</v>
      </c>
    </row>
    <row r="59" spans="1:5" x14ac:dyDescent="0.2">
      <c r="A59" s="16">
        <f>B59+C59</f>
        <v>0</v>
      </c>
      <c r="B59" s="17">
        <v>0</v>
      </c>
      <c r="C59" s="12">
        <v>0</v>
      </c>
      <c r="D59" s="18">
        <v>0</v>
      </c>
      <c r="E59" s="19">
        <f>D59+C59+B59</f>
        <v>0</v>
      </c>
    </row>
    <row r="60" spans="1:5" x14ac:dyDescent="0.2">
      <c r="A60" s="16">
        <f>B60+C60</f>
        <v>2</v>
      </c>
      <c r="B60" s="17">
        <v>2</v>
      </c>
      <c r="C60" s="12">
        <v>0</v>
      </c>
      <c r="D60" s="18">
        <v>3</v>
      </c>
      <c r="E60" s="19">
        <f>D60+C60+B60</f>
        <v>5</v>
      </c>
    </row>
    <row r="61" spans="1:5" x14ac:dyDescent="0.2">
      <c r="A61" s="16">
        <f>B61+C61</f>
        <v>0</v>
      </c>
      <c r="B61" s="17">
        <v>0</v>
      </c>
      <c r="C61" s="12">
        <v>0</v>
      </c>
      <c r="D61" s="18">
        <v>0</v>
      </c>
      <c r="E61" s="19">
        <f>D61+C61+B61</f>
        <v>0</v>
      </c>
    </row>
    <row r="62" spans="1:5" x14ac:dyDescent="0.2">
      <c r="A62" s="16">
        <f>B62+C62</f>
        <v>0</v>
      </c>
      <c r="B62" s="17">
        <v>0</v>
      </c>
      <c r="C62" s="12">
        <v>0</v>
      </c>
      <c r="D62" s="18">
        <v>0</v>
      </c>
      <c r="E62" s="19">
        <f>D62+C62+B62</f>
        <v>0</v>
      </c>
    </row>
    <row r="63" spans="1:5" x14ac:dyDescent="0.2">
      <c r="A63" s="16">
        <f>B63+C63</f>
        <v>0</v>
      </c>
      <c r="B63" s="17">
        <v>0</v>
      </c>
      <c r="C63" s="12">
        <v>0</v>
      </c>
      <c r="D63" s="18">
        <v>0</v>
      </c>
      <c r="E63" s="19">
        <f>D63+C63+B63</f>
        <v>0</v>
      </c>
    </row>
    <row r="64" spans="1:5" x14ac:dyDescent="0.2">
      <c r="A64" s="16">
        <f>B64+C64</f>
        <v>0</v>
      </c>
      <c r="B64" s="17">
        <v>0</v>
      </c>
      <c r="C64" s="12">
        <v>0</v>
      </c>
      <c r="D64" s="18">
        <v>0</v>
      </c>
      <c r="E64" s="19">
        <f>D64+C64+B64</f>
        <v>0</v>
      </c>
    </row>
    <row r="65" spans="1:5" x14ac:dyDescent="0.2">
      <c r="A65" s="16">
        <f>B65+C65</f>
        <v>1</v>
      </c>
      <c r="B65" s="17">
        <v>0</v>
      </c>
      <c r="C65" s="12">
        <v>1</v>
      </c>
      <c r="D65" s="18">
        <v>3</v>
      </c>
      <c r="E65" s="19">
        <f>D65+C65+B65</f>
        <v>4</v>
      </c>
    </row>
    <row r="66" spans="1:5" x14ac:dyDescent="0.2">
      <c r="A66" s="16">
        <f>B66+C66</f>
        <v>0</v>
      </c>
      <c r="B66" s="17">
        <v>0</v>
      </c>
      <c r="C66" s="12">
        <v>0</v>
      </c>
      <c r="D66" s="18">
        <v>0</v>
      </c>
      <c r="E66" s="19">
        <f>D66+C66+B66</f>
        <v>0</v>
      </c>
    </row>
    <row r="67" spans="1:5" x14ac:dyDescent="0.2">
      <c r="A67" s="16">
        <f>B67+C67</f>
        <v>0</v>
      </c>
      <c r="B67" s="17">
        <v>0</v>
      </c>
      <c r="C67" s="12">
        <v>0</v>
      </c>
      <c r="D67" s="18">
        <v>0</v>
      </c>
      <c r="E67" s="19">
        <f>D67+C67+B67</f>
        <v>0</v>
      </c>
    </row>
    <row r="68" spans="1:5" x14ac:dyDescent="0.2">
      <c r="A68" s="16">
        <f>B68+C68</f>
        <v>0</v>
      </c>
      <c r="B68" s="17">
        <v>0</v>
      </c>
      <c r="C68" s="12">
        <v>0</v>
      </c>
      <c r="D68" s="18">
        <v>0</v>
      </c>
      <c r="E68" s="19">
        <f>D68+C68+B68</f>
        <v>0</v>
      </c>
    </row>
    <row r="69" spans="1:5" x14ac:dyDescent="0.2">
      <c r="A69" s="16">
        <f>B69+C69</f>
        <v>0</v>
      </c>
      <c r="B69" s="17">
        <v>0</v>
      </c>
      <c r="C69" s="12">
        <v>0</v>
      </c>
      <c r="D69" s="18">
        <v>0</v>
      </c>
      <c r="E69" s="19">
        <f>D69+C69+B69</f>
        <v>0</v>
      </c>
    </row>
    <row r="70" spans="1:5" x14ac:dyDescent="0.2">
      <c r="A70" s="16">
        <f>B70+C70</f>
        <v>0</v>
      </c>
      <c r="B70" s="17">
        <v>0</v>
      </c>
      <c r="C70" s="12">
        <v>0</v>
      </c>
      <c r="D70" s="18">
        <v>0</v>
      </c>
      <c r="E70" s="19">
        <f>D70+C70+B70</f>
        <v>0</v>
      </c>
    </row>
    <row r="71" spans="1:5" x14ac:dyDescent="0.2">
      <c r="A71" s="16">
        <f>B71+C71</f>
        <v>0</v>
      </c>
      <c r="B71" s="17">
        <v>0</v>
      </c>
      <c r="C71" s="12">
        <v>0</v>
      </c>
      <c r="D71" s="18">
        <v>0</v>
      </c>
      <c r="E71" s="19">
        <f>D71+C71+B71</f>
        <v>0</v>
      </c>
    </row>
    <row r="72" spans="1:5" x14ac:dyDescent="0.2">
      <c r="A72" s="16">
        <f>B72+C72</f>
        <v>0</v>
      </c>
      <c r="B72" s="17">
        <v>0</v>
      </c>
      <c r="C72" s="12">
        <v>0</v>
      </c>
      <c r="D72" s="18">
        <v>0</v>
      </c>
      <c r="E72" s="19">
        <f>D72+C72+B72</f>
        <v>0</v>
      </c>
    </row>
    <row r="73" spans="1:5" x14ac:dyDescent="0.2">
      <c r="A73" s="16">
        <f>B73+C73</f>
        <v>1</v>
      </c>
      <c r="B73" s="17">
        <v>1</v>
      </c>
      <c r="C73" s="12">
        <v>0</v>
      </c>
      <c r="D73" s="18">
        <v>1</v>
      </c>
      <c r="E73" s="19">
        <f>D73+C73+B73</f>
        <v>2</v>
      </c>
    </row>
    <row r="74" spans="1:5" x14ac:dyDescent="0.2">
      <c r="A74" s="16">
        <f>B74+C74</f>
        <v>0</v>
      </c>
      <c r="B74" s="17">
        <v>0</v>
      </c>
      <c r="C74" s="12">
        <v>0</v>
      </c>
      <c r="D74" s="18">
        <v>0</v>
      </c>
      <c r="E74" s="19">
        <f>D74+C74+B74</f>
        <v>0</v>
      </c>
    </row>
    <row r="75" spans="1:5" x14ac:dyDescent="0.2">
      <c r="A75" s="16">
        <f>B75+C75</f>
        <v>0</v>
      </c>
      <c r="B75" s="17">
        <v>0</v>
      </c>
      <c r="C75" s="12">
        <v>0</v>
      </c>
      <c r="D75" s="18">
        <v>0</v>
      </c>
      <c r="E75" s="19">
        <f>D75+C75+B75</f>
        <v>0</v>
      </c>
    </row>
    <row r="76" spans="1:5" x14ac:dyDescent="0.2">
      <c r="A76" s="16">
        <f>B76+C76</f>
        <v>0</v>
      </c>
      <c r="B76" s="17">
        <v>0</v>
      </c>
      <c r="C76" s="12">
        <v>0</v>
      </c>
      <c r="D76" s="18">
        <v>0</v>
      </c>
      <c r="E76" s="19">
        <f>D76+C76+B76</f>
        <v>0</v>
      </c>
    </row>
    <row r="77" spans="1:5" x14ac:dyDescent="0.2">
      <c r="A77" s="16">
        <f>B77+C77</f>
        <v>0</v>
      </c>
      <c r="B77" s="17">
        <v>0</v>
      </c>
      <c r="C77" s="12">
        <v>0</v>
      </c>
      <c r="D77" s="18">
        <v>0</v>
      </c>
      <c r="E77" s="19">
        <f>D77+C77+B77</f>
        <v>0</v>
      </c>
    </row>
    <row r="78" spans="1:5" x14ac:dyDescent="0.2">
      <c r="A78" s="16">
        <f>B78+C78</f>
        <v>0</v>
      </c>
      <c r="B78" s="20">
        <v>0</v>
      </c>
      <c r="C78" s="21">
        <v>0</v>
      </c>
      <c r="D78" s="22">
        <v>0</v>
      </c>
      <c r="E78" s="19">
        <f>D78+C78+B78</f>
        <v>0</v>
      </c>
    </row>
    <row r="79" spans="1:5" x14ac:dyDescent="0.2">
      <c r="A79" s="16">
        <f>B79+C79</f>
        <v>0</v>
      </c>
      <c r="B79" s="20">
        <v>0</v>
      </c>
      <c r="C79" s="21">
        <v>0</v>
      </c>
      <c r="D79" s="22">
        <v>0</v>
      </c>
      <c r="E79" s="19">
        <f>D79+C79+B79</f>
        <v>0</v>
      </c>
    </row>
    <row r="80" spans="1:5" x14ac:dyDescent="0.2">
      <c r="A80" s="16">
        <f>B80+C80</f>
        <v>0</v>
      </c>
      <c r="B80" s="17">
        <v>0</v>
      </c>
      <c r="C80" s="12">
        <v>0</v>
      </c>
      <c r="D80" s="18">
        <v>0</v>
      </c>
      <c r="E80" s="19">
        <f>D80+C80+B80</f>
        <v>0</v>
      </c>
    </row>
    <row r="81" spans="1:5" x14ac:dyDescent="0.2">
      <c r="A81" s="16">
        <f>B81+C81</f>
        <v>0</v>
      </c>
      <c r="B81" s="17">
        <v>0</v>
      </c>
      <c r="C81" s="12">
        <v>0</v>
      </c>
      <c r="D81" s="18">
        <v>0</v>
      </c>
      <c r="E81" s="19">
        <f>D81+C81+B81</f>
        <v>0</v>
      </c>
    </row>
    <row r="82" spans="1:5" x14ac:dyDescent="0.2">
      <c r="A82" s="16">
        <f>B82+C82</f>
        <v>1</v>
      </c>
      <c r="B82" s="17">
        <v>0</v>
      </c>
      <c r="C82" s="12">
        <v>1</v>
      </c>
      <c r="D82" s="18">
        <v>2</v>
      </c>
      <c r="E82" s="19">
        <f>D82+C82+B82</f>
        <v>3</v>
      </c>
    </row>
    <row r="83" spans="1:5" x14ac:dyDescent="0.2">
      <c r="A83" s="16">
        <f>B83+C83</f>
        <v>0</v>
      </c>
      <c r="B83" s="17">
        <v>0</v>
      </c>
      <c r="C83" s="12">
        <v>0</v>
      </c>
      <c r="D83" s="18">
        <v>0</v>
      </c>
      <c r="E83" s="19">
        <f>D83+C83+B83</f>
        <v>0</v>
      </c>
    </row>
    <row r="84" spans="1:5" x14ac:dyDescent="0.2">
      <c r="A84" s="16">
        <f>B84+C84</f>
        <v>1</v>
      </c>
      <c r="B84" s="17">
        <v>1</v>
      </c>
      <c r="C84" s="12">
        <v>0</v>
      </c>
      <c r="D84" s="18">
        <v>0</v>
      </c>
      <c r="E84" s="19">
        <f>D84+C84+B84</f>
        <v>1</v>
      </c>
    </row>
    <row r="85" spans="1:5" x14ac:dyDescent="0.2">
      <c r="A85" s="16">
        <f>B85+C85</f>
        <v>1</v>
      </c>
      <c r="B85" s="17">
        <v>1</v>
      </c>
      <c r="C85" s="12">
        <v>0</v>
      </c>
      <c r="D85" s="18">
        <v>3</v>
      </c>
      <c r="E85" s="19">
        <f>D85+C85+B85</f>
        <v>4</v>
      </c>
    </row>
    <row r="86" spans="1:5" x14ac:dyDescent="0.2">
      <c r="A86" s="16">
        <f>B86+C86</f>
        <v>1</v>
      </c>
      <c r="B86" s="17">
        <v>1</v>
      </c>
      <c r="C86" s="12">
        <v>0</v>
      </c>
      <c r="D86" s="18">
        <v>2</v>
      </c>
      <c r="E86" s="19">
        <f>D86+C86+B86</f>
        <v>3</v>
      </c>
    </row>
    <row r="87" spans="1:5" x14ac:dyDescent="0.2">
      <c r="A87" s="16">
        <f>B87+C87</f>
        <v>0</v>
      </c>
      <c r="B87" s="17">
        <v>0</v>
      </c>
      <c r="C87" s="12">
        <v>0</v>
      </c>
      <c r="D87" s="18">
        <v>1</v>
      </c>
      <c r="E87" s="19">
        <f>D87+C87+B87</f>
        <v>1</v>
      </c>
    </row>
    <row r="88" spans="1:5" x14ac:dyDescent="0.2">
      <c r="A88" s="16">
        <f>B88+C88</f>
        <v>0</v>
      </c>
      <c r="B88" s="17">
        <v>0</v>
      </c>
      <c r="C88" s="12">
        <v>0</v>
      </c>
      <c r="D88" s="18">
        <v>0</v>
      </c>
      <c r="E88" s="19">
        <f>D88+C88+B88</f>
        <v>0</v>
      </c>
    </row>
    <row r="89" spans="1:5" x14ac:dyDescent="0.2">
      <c r="A89" s="16">
        <f>B89+C89</f>
        <v>2</v>
      </c>
      <c r="B89" s="17">
        <v>2</v>
      </c>
      <c r="C89" s="12">
        <v>0</v>
      </c>
      <c r="D89" s="18">
        <v>0</v>
      </c>
      <c r="E89" s="19">
        <f>D89+C89+B89</f>
        <v>2</v>
      </c>
    </row>
    <row r="90" spans="1:5" x14ac:dyDescent="0.2">
      <c r="A90" s="16">
        <f>B90+C90</f>
        <v>2</v>
      </c>
      <c r="B90" s="17">
        <v>1</v>
      </c>
      <c r="C90" s="12">
        <v>1</v>
      </c>
      <c r="D90" s="18">
        <v>2</v>
      </c>
      <c r="E90" s="19">
        <f>D90+C90+B90</f>
        <v>4</v>
      </c>
    </row>
    <row r="91" spans="1:5" x14ac:dyDescent="0.2">
      <c r="A91" s="16">
        <f>B91+C91</f>
        <v>0</v>
      </c>
      <c r="B91" s="17">
        <v>0</v>
      </c>
      <c r="C91" s="12">
        <v>0</v>
      </c>
      <c r="D91" s="18">
        <v>0</v>
      </c>
      <c r="E91" s="19">
        <f>D91+C91+B91</f>
        <v>0</v>
      </c>
    </row>
    <row r="92" spans="1:5" x14ac:dyDescent="0.2">
      <c r="A92" s="16">
        <f>B92+C92</f>
        <v>1</v>
      </c>
      <c r="B92" s="17">
        <v>0</v>
      </c>
      <c r="C92" s="12">
        <v>1</v>
      </c>
      <c r="D92" s="18">
        <v>6</v>
      </c>
      <c r="E92" s="19">
        <f>D92+C92+B92</f>
        <v>7</v>
      </c>
    </row>
    <row r="93" spans="1:5" x14ac:dyDescent="0.2">
      <c r="A93" s="16">
        <f>B93+C93</f>
        <v>1</v>
      </c>
      <c r="B93" s="17">
        <v>1</v>
      </c>
      <c r="C93" s="12">
        <v>0</v>
      </c>
      <c r="D93" s="18">
        <v>5</v>
      </c>
      <c r="E93" s="19">
        <f>D93+C93+B93</f>
        <v>6</v>
      </c>
    </row>
    <row r="94" spans="1:5" x14ac:dyDescent="0.2">
      <c r="A94" s="16">
        <f>B94+C94</f>
        <v>1</v>
      </c>
      <c r="B94" s="17">
        <v>0</v>
      </c>
      <c r="C94" s="12">
        <v>1</v>
      </c>
      <c r="D94" s="18">
        <v>3</v>
      </c>
      <c r="E94" s="19">
        <f>D94+C94+B94</f>
        <v>4</v>
      </c>
    </row>
    <row r="95" spans="1:5" x14ac:dyDescent="0.2">
      <c r="A95" s="16">
        <f>B95+C95</f>
        <v>1</v>
      </c>
      <c r="B95" s="20">
        <v>0</v>
      </c>
      <c r="C95" s="21">
        <v>1</v>
      </c>
      <c r="D95" s="22">
        <v>2</v>
      </c>
      <c r="E95" s="19">
        <f>D95+C95+B95</f>
        <v>3</v>
      </c>
    </row>
    <row r="96" spans="1:5" x14ac:dyDescent="0.2">
      <c r="A96" s="16">
        <f>B96+C96</f>
        <v>1</v>
      </c>
      <c r="B96" s="20">
        <v>0</v>
      </c>
      <c r="C96" s="21">
        <v>1</v>
      </c>
      <c r="D96" s="22">
        <v>1</v>
      </c>
      <c r="E96" s="19">
        <f>D96+C96+B96</f>
        <v>2</v>
      </c>
    </row>
    <row r="97" spans="1:5" x14ac:dyDescent="0.2">
      <c r="A97" s="16">
        <f>B97+C97</f>
        <v>0</v>
      </c>
      <c r="B97" s="20">
        <v>0</v>
      </c>
      <c r="C97" s="21">
        <v>0</v>
      </c>
      <c r="D97" s="22">
        <v>1</v>
      </c>
      <c r="E97" s="19">
        <f>D97+C97+B97</f>
        <v>1</v>
      </c>
    </row>
    <row r="98" spans="1:5" x14ac:dyDescent="0.2">
      <c r="A98" s="16">
        <f>B98+C98</f>
        <v>1</v>
      </c>
      <c r="B98" s="17">
        <v>1</v>
      </c>
      <c r="C98" s="12">
        <v>0</v>
      </c>
      <c r="D98" s="18">
        <v>1</v>
      </c>
      <c r="E98" s="19">
        <f>D98+C98+B98</f>
        <v>2</v>
      </c>
    </row>
    <row r="99" spans="1:5" x14ac:dyDescent="0.2">
      <c r="A99" s="16">
        <f>B99+C99</f>
        <v>0</v>
      </c>
      <c r="B99" s="17">
        <v>0</v>
      </c>
      <c r="C99" s="12">
        <v>0</v>
      </c>
      <c r="D99" s="18">
        <v>0</v>
      </c>
      <c r="E99" s="19">
        <f>D99+C99+B99</f>
        <v>0</v>
      </c>
    </row>
    <row r="100" spans="1:5" x14ac:dyDescent="0.2">
      <c r="A100" s="16">
        <f>B100+C100</f>
        <v>2</v>
      </c>
      <c r="B100" s="17">
        <v>0</v>
      </c>
      <c r="C100" s="12">
        <v>2</v>
      </c>
      <c r="D100" s="18">
        <v>0</v>
      </c>
      <c r="E100" s="19">
        <f>D100+C100+B100</f>
        <v>2</v>
      </c>
    </row>
    <row r="101" spans="1:5" x14ac:dyDescent="0.2">
      <c r="A101" s="16">
        <f>B101+C101</f>
        <v>1</v>
      </c>
      <c r="B101" s="17">
        <v>1</v>
      </c>
      <c r="C101" s="12">
        <v>0</v>
      </c>
      <c r="D101" s="18">
        <v>1</v>
      </c>
      <c r="E101" s="19">
        <f>D101+C101+B101</f>
        <v>2</v>
      </c>
    </row>
    <row r="102" spans="1:5" x14ac:dyDescent="0.2">
      <c r="A102" s="16">
        <f>B102+C102</f>
        <v>0</v>
      </c>
      <c r="B102" s="17">
        <v>0</v>
      </c>
      <c r="C102" s="12">
        <v>0</v>
      </c>
      <c r="D102" s="18">
        <v>0</v>
      </c>
      <c r="E102" s="19">
        <f>D102+C102+B102</f>
        <v>0</v>
      </c>
    </row>
    <row r="103" spans="1:5" x14ac:dyDescent="0.2">
      <c r="A103" s="16">
        <f>B103+C103</f>
        <v>1</v>
      </c>
      <c r="B103" s="17">
        <v>0</v>
      </c>
      <c r="C103" s="12">
        <v>1</v>
      </c>
      <c r="D103" s="18">
        <v>0</v>
      </c>
      <c r="E103" s="19">
        <f>D103+C103+B103</f>
        <v>1</v>
      </c>
    </row>
    <row r="104" spans="1:5" x14ac:dyDescent="0.2">
      <c r="A104" s="16">
        <f>B104+C104</f>
        <v>0</v>
      </c>
      <c r="B104" s="17">
        <v>0</v>
      </c>
      <c r="C104" s="12">
        <v>0</v>
      </c>
      <c r="D104" s="18">
        <v>0</v>
      </c>
      <c r="E104" s="19">
        <f>D104+C104+B104</f>
        <v>0</v>
      </c>
    </row>
    <row r="105" spans="1:5" x14ac:dyDescent="0.2">
      <c r="A105" s="16">
        <f>B105+C105</f>
        <v>1</v>
      </c>
      <c r="B105" s="17">
        <v>1</v>
      </c>
      <c r="C105" s="12">
        <v>0</v>
      </c>
      <c r="D105" s="18">
        <v>1</v>
      </c>
      <c r="E105" s="19">
        <f>D105+C105+B105</f>
        <v>2</v>
      </c>
    </row>
    <row r="106" spans="1:5" x14ac:dyDescent="0.2">
      <c r="A106" s="16">
        <f>B106+C106</f>
        <v>0</v>
      </c>
      <c r="B106" s="17">
        <v>0</v>
      </c>
      <c r="C106" s="12">
        <v>0</v>
      </c>
      <c r="D106" s="18">
        <v>0</v>
      </c>
      <c r="E106" s="19">
        <f>D106+C106+B106</f>
        <v>0</v>
      </c>
    </row>
    <row r="107" spans="1:5" x14ac:dyDescent="0.2">
      <c r="A107" s="16">
        <f>B107+C107</f>
        <v>1</v>
      </c>
      <c r="B107" s="17">
        <v>0</v>
      </c>
      <c r="C107" s="12">
        <v>1</v>
      </c>
      <c r="D107" s="18">
        <v>0</v>
      </c>
      <c r="E107" s="19">
        <f>D107+C107+B107</f>
        <v>1</v>
      </c>
    </row>
    <row r="108" spans="1:5" x14ac:dyDescent="0.2">
      <c r="A108" s="16">
        <f>B108+C108</f>
        <v>1</v>
      </c>
      <c r="B108" s="17">
        <v>0</v>
      </c>
      <c r="C108" s="12">
        <v>1</v>
      </c>
      <c r="D108" s="18">
        <v>0</v>
      </c>
      <c r="E108" s="19">
        <f>D108+C108+B108</f>
        <v>1</v>
      </c>
    </row>
    <row r="109" spans="1:5" x14ac:dyDescent="0.2">
      <c r="A109" s="16">
        <f>B109+C109</f>
        <v>2</v>
      </c>
      <c r="B109" s="17">
        <v>2</v>
      </c>
      <c r="C109" s="12">
        <v>0</v>
      </c>
      <c r="D109" s="18">
        <v>0</v>
      </c>
      <c r="E109" s="19">
        <f>D109+C109+B109</f>
        <v>2</v>
      </c>
    </row>
    <row r="110" spans="1:5" x14ac:dyDescent="0.2">
      <c r="A110" s="16">
        <f>B110+C110</f>
        <v>1</v>
      </c>
      <c r="B110" s="17">
        <v>0</v>
      </c>
      <c r="C110" s="12">
        <v>1</v>
      </c>
      <c r="D110" s="18">
        <v>0</v>
      </c>
      <c r="E110" s="19">
        <f>D110+C110+B110</f>
        <v>1</v>
      </c>
    </row>
    <row r="111" spans="1:5" x14ac:dyDescent="0.2">
      <c r="A111" s="16">
        <f>B111+C111</f>
        <v>0</v>
      </c>
      <c r="B111" s="17">
        <v>0</v>
      </c>
      <c r="C111" s="12">
        <v>0</v>
      </c>
      <c r="D111" s="18">
        <v>0</v>
      </c>
      <c r="E111" s="19">
        <f>D111+C111+B111</f>
        <v>0</v>
      </c>
    </row>
    <row r="112" spans="1:5" x14ac:dyDescent="0.2">
      <c r="A112" s="16">
        <f>B112+C112</f>
        <v>2</v>
      </c>
      <c r="B112" s="20">
        <v>0</v>
      </c>
      <c r="C112" s="21">
        <v>2</v>
      </c>
      <c r="D112" s="22">
        <v>1</v>
      </c>
      <c r="E112" s="19">
        <f>D112+C112+B112</f>
        <v>3</v>
      </c>
    </row>
    <row r="113" spans="1:5" x14ac:dyDescent="0.2">
      <c r="A113" s="16">
        <f>B113+C113</f>
        <v>1</v>
      </c>
      <c r="B113" s="17">
        <v>0</v>
      </c>
      <c r="C113" s="12">
        <v>1</v>
      </c>
      <c r="D113" s="18">
        <v>0</v>
      </c>
      <c r="E113" s="19">
        <f>D113+C113+B113</f>
        <v>1</v>
      </c>
    </row>
    <row r="114" spans="1:5" x14ac:dyDescent="0.2">
      <c r="A114" s="16">
        <f>B114+C114</f>
        <v>1</v>
      </c>
      <c r="B114" s="17">
        <v>0</v>
      </c>
      <c r="C114" s="12">
        <v>1</v>
      </c>
      <c r="D114" s="18">
        <v>1</v>
      </c>
      <c r="E114" s="19">
        <f>D114+C114+B114</f>
        <v>2</v>
      </c>
    </row>
    <row r="115" spans="1:5" x14ac:dyDescent="0.2">
      <c r="A115" s="16">
        <f>B115+C115</f>
        <v>1</v>
      </c>
      <c r="B115" s="17">
        <v>0</v>
      </c>
      <c r="C115" s="12">
        <v>1</v>
      </c>
      <c r="D115" s="18">
        <v>0</v>
      </c>
      <c r="E115" s="19">
        <f>D115+C115+B115</f>
        <v>1</v>
      </c>
    </row>
    <row r="116" spans="1:5" x14ac:dyDescent="0.2">
      <c r="A116" s="16">
        <f>B116+C116</f>
        <v>1</v>
      </c>
      <c r="B116" s="17">
        <v>1</v>
      </c>
      <c r="C116" s="12">
        <v>0</v>
      </c>
      <c r="D116" s="18">
        <v>2</v>
      </c>
      <c r="E116" s="19">
        <f>D116+C116+B116</f>
        <v>3</v>
      </c>
    </row>
    <row r="117" spans="1:5" x14ac:dyDescent="0.2">
      <c r="A117" s="16">
        <f>B117+C117</f>
        <v>2</v>
      </c>
      <c r="B117" s="17">
        <v>0</v>
      </c>
      <c r="C117" s="12">
        <v>2</v>
      </c>
      <c r="D117" s="18">
        <v>0</v>
      </c>
      <c r="E117" s="19">
        <f>D117+C117+B117</f>
        <v>2</v>
      </c>
    </row>
    <row r="118" spans="1:5" x14ac:dyDescent="0.2">
      <c r="A118" s="16">
        <f>B118+C118</f>
        <v>0</v>
      </c>
      <c r="B118" s="17">
        <v>0</v>
      </c>
      <c r="C118" s="12">
        <v>0</v>
      </c>
      <c r="D118" s="18">
        <v>0</v>
      </c>
      <c r="E118" s="19">
        <f>D118+C118+B118</f>
        <v>0</v>
      </c>
    </row>
    <row r="119" spans="1:5" x14ac:dyDescent="0.2">
      <c r="A119" s="16">
        <f>B119+C119</f>
        <v>1</v>
      </c>
      <c r="B119" s="20">
        <v>0</v>
      </c>
      <c r="C119" s="21">
        <v>1</v>
      </c>
      <c r="D119" s="22">
        <v>1</v>
      </c>
      <c r="E119" s="19">
        <f>D119+C119+B119</f>
        <v>2</v>
      </c>
    </row>
    <row r="120" spans="1:5" x14ac:dyDescent="0.2">
      <c r="A120" s="16">
        <f>B120+C120</f>
        <v>0</v>
      </c>
      <c r="B120" s="17">
        <v>0</v>
      </c>
      <c r="C120" s="12">
        <v>0</v>
      </c>
      <c r="D120" s="18">
        <v>0</v>
      </c>
      <c r="E120" s="19">
        <f>D120+C120+B120</f>
        <v>0</v>
      </c>
    </row>
    <row r="121" spans="1:5" x14ac:dyDescent="0.2">
      <c r="A121" s="16">
        <f>B121+C121</f>
        <v>1</v>
      </c>
      <c r="B121" s="17">
        <v>0</v>
      </c>
      <c r="C121" s="12">
        <v>1</v>
      </c>
      <c r="D121" s="18">
        <v>1</v>
      </c>
      <c r="E121" s="19">
        <f>D121+C121+B121</f>
        <v>2</v>
      </c>
    </row>
    <row r="122" spans="1:5" x14ac:dyDescent="0.2">
      <c r="A122" s="16">
        <f>B122+C122</f>
        <v>0</v>
      </c>
      <c r="B122" s="17">
        <v>0</v>
      </c>
      <c r="C122" s="12">
        <v>0</v>
      </c>
      <c r="D122" s="18">
        <v>0</v>
      </c>
      <c r="E122" s="19">
        <f>D122+C122+B122</f>
        <v>0</v>
      </c>
    </row>
    <row r="123" spans="1:5" x14ac:dyDescent="0.2">
      <c r="A123" s="16">
        <f>B123+C123</f>
        <v>1</v>
      </c>
      <c r="B123" s="17">
        <v>0</v>
      </c>
      <c r="C123" s="12">
        <v>1</v>
      </c>
      <c r="D123" s="18">
        <v>2</v>
      </c>
      <c r="E123" s="19">
        <f>D123+C123+B123</f>
        <v>3</v>
      </c>
    </row>
    <row r="124" spans="1:5" x14ac:dyDescent="0.2">
      <c r="A124" s="16">
        <f>B124+C124</f>
        <v>0</v>
      </c>
      <c r="B124" s="17">
        <v>0</v>
      </c>
      <c r="C124" s="12">
        <v>0</v>
      </c>
      <c r="D124" s="18">
        <v>0</v>
      </c>
      <c r="E124" s="19">
        <f>D124+C124+B124</f>
        <v>0</v>
      </c>
    </row>
    <row r="125" spans="1:5" x14ac:dyDescent="0.2">
      <c r="A125" s="16">
        <f>B125+C125</f>
        <v>1</v>
      </c>
      <c r="B125" s="20">
        <v>1</v>
      </c>
      <c r="C125" s="21">
        <v>0</v>
      </c>
      <c r="D125" s="22">
        <v>1</v>
      </c>
      <c r="E125" s="19">
        <f>D125+C125+B125</f>
        <v>2</v>
      </c>
    </row>
    <row r="126" spans="1:5" x14ac:dyDescent="0.2">
      <c r="A126" s="16">
        <f>B126+C126</f>
        <v>1</v>
      </c>
      <c r="B126" s="17">
        <v>0</v>
      </c>
      <c r="C126" s="12">
        <v>1</v>
      </c>
      <c r="D126" s="18">
        <v>2</v>
      </c>
      <c r="E126" s="19">
        <f>D126+C126+B126</f>
        <v>3</v>
      </c>
    </row>
    <row r="127" spans="1:5" x14ac:dyDescent="0.2">
      <c r="A127" s="16">
        <f>B127+C127</f>
        <v>1</v>
      </c>
      <c r="B127" s="17">
        <v>0</v>
      </c>
      <c r="C127" s="12">
        <v>1</v>
      </c>
      <c r="D127" s="18">
        <v>0</v>
      </c>
      <c r="E127" s="19">
        <f>D127+C127+B127</f>
        <v>1</v>
      </c>
    </row>
    <row r="128" spans="1:5" x14ac:dyDescent="0.2">
      <c r="A128" s="16">
        <f>B128+C128</f>
        <v>1</v>
      </c>
      <c r="B128" s="20">
        <v>0</v>
      </c>
      <c r="C128" s="21">
        <v>1</v>
      </c>
      <c r="D128" s="22">
        <v>0</v>
      </c>
      <c r="E128" s="19">
        <f>D128+C128+B128</f>
        <v>1</v>
      </c>
    </row>
    <row r="129" spans="1:5" x14ac:dyDescent="0.2">
      <c r="A129" s="16">
        <f>B129+C129</f>
        <v>2</v>
      </c>
      <c r="B129" s="20">
        <v>1</v>
      </c>
      <c r="C129" s="21">
        <v>1</v>
      </c>
      <c r="D129" s="22">
        <v>5</v>
      </c>
      <c r="E129" s="19">
        <f>D129+C129+B129</f>
        <v>7</v>
      </c>
    </row>
    <row r="130" spans="1:5" x14ac:dyDescent="0.2">
      <c r="A130" s="16">
        <f>B130+C130</f>
        <v>1</v>
      </c>
      <c r="B130" s="17">
        <v>1</v>
      </c>
      <c r="C130" s="12">
        <v>0</v>
      </c>
      <c r="D130" s="18">
        <v>0</v>
      </c>
      <c r="E130" s="19">
        <f>D130+C130+B130</f>
        <v>1</v>
      </c>
    </row>
    <row r="131" spans="1:5" x14ac:dyDescent="0.2">
      <c r="A131" s="16">
        <f>B131+C131</f>
        <v>2</v>
      </c>
      <c r="B131" s="17">
        <v>1</v>
      </c>
      <c r="C131" s="12">
        <v>1</v>
      </c>
      <c r="D131" s="18">
        <v>1</v>
      </c>
      <c r="E131" s="19">
        <f>D131+C131+B131</f>
        <v>3</v>
      </c>
    </row>
    <row r="132" spans="1:5" x14ac:dyDescent="0.2">
      <c r="A132" s="16">
        <f>B132+C132</f>
        <v>1</v>
      </c>
      <c r="B132" s="20">
        <v>0</v>
      </c>
      <c r="C132" s="21">
        <v>1</v>
      </c>
      <c r="D132" s="22">
        <v>1</v>
      </c>
      <c r="E132" s="19">
        <f>D132+C132+B132</f>
        <v>2</v>
      </c>
    </row>
    <row r="133" spans="1:5" x14ac:dyDescent="0.2">
      <c r="A133" s="16">
        <f>B133+C133</f>
        <v>1</v>
      </c>
      <c r="B133" s="20">
        <v>0</v>
      </c>
      <c r="C133" s="21">
        <v>1</v>
      </c>
      <c r="D133" s="22">
        <v>1</v>
      </c>
      <c r="E133" s="19">
        <f>D133+C133+B133</f>
        <v>2</v>
      </c>
    </row>
    <row r="134" spans="1:5" x14ac:dyDescent="0.2">
      <c r="A134" s="16">
        <f>B134+C134</f>
        <v>0</v>
      </c>
      <c r="B134" s="17">
        <v>0</v>
      </c>
      <c r="C134" s="12">
        <v>0</v>
      </c>
      <c r="D134" s="18">
        <v>0</v>
      </c>
      <c r="E134" s="19">
        <f>D134+C134+B134</f>
        <v>0</v>
      </c>
    </row>
    <row r="135" spans="1:5" x14ac:dyDescent="0.2">
      <c r="A135" s="16">
        <f>B135+C135</f>
        <v>1</v>
      </c>
      <c r="B135" s="17">
        <v>1</v>
      </c>
      <c r="C135" s="12">
        <v>0</v>
      </c>
      <c r="D135" s="18">
        <v>0</v>
      </c>
      <c r="E135" s="19">
        <f>D135+C135+B135</f>
        <v>1</v>
      </c>
    </row>
    <row r="136" spans="1:5" x14ac:dyDescent="0.2">
      <c r="A136" s="16">
        <f>B136+C136</f>
        <v>0</v>
      </c>
      <c r="B136" s="17">
        <v>0</v>
      </c>
      <c r="C136" s="12">
        <v>0</v>
      </c>
      <c r="D136" s="18">
        <v>0</v>
      </c>
      <c r="E136" s="19">
        <f>D136+C136+B136</f>
        <v>0</v>
      </c>
    </row>
    <row r="137" spans="1:5" x14ac:dyDescent="0.2">
      <c r="A137" s="16">
        <f>B137+C137</f>
        <v>1</v>
      </c>
      <c r="B137" s="17">
        <v>0</v>
      </c>
      <c r="C137" s="12">
        <v>1</v>
      </c>
      <c r="D137" s="18">
        <v>0</v>
      </c>
      <c r="E137" s="19">
        <f>D137+C137+B137</f>
        <v>1</v>
      </c>
    </row>
    <row r="138" spans="1:5" x14ac:dyDescent="0.2">
      <c r="A138" s="16">
        <f>B138+C138</f>
        <v>1</v>
      </c>
      <c r="B138" s="20">
        <v>1</v>
      </c>
      <c r="C138" s="21">
        <v>0</v>
      </c>
      <c r="D138" s="22">
        <v>0</v>
      </c>
      <c r="E138" s="19">
        <f>D138+C138+B138</f>
        <v>1</v>
      </c>
    </row>
    <row r="139" spans="1:5" x14ac:dyDescent="0.2">
      <c r="A139" s="16">
        <f>B139+C139</f>
        <v>0</v>
      </c>
      <c r="B139" s="17">
        <v>0</v>
      </c>
      <c r="C139" s="12">
        <v>0</v>
      </c>
      <c r="D139" s="18">
        <v>0</v>
      </c>
      <c r="E139" s="19">
        <f>D139+C139+B139</f>
        <v>0</v>
      </c>
    </row>
    <row r="140" spans="1:5" x14ac:dyDescent="0.2">
      <c r="A140" s="16">
        <f>B140+C140</f>
        <v>1</v>
      </c>
      <c r="B140" s="17">
        <v>1</v>
      </c>
      <c r="C140" s="12">
        <v>0</v>
      </c>
      <c r="D140" s="18">
        <v>0</v>
      </c>
      <c r="E140" s="19">
        <f>D140+C140+B140</f>
        <v>1</v>
      </c>
    </row>
    <row r="141" spans="1:5" x14ac:dyDescent="0.2">
      <c r="A141" s="16">
        <f>B141+C141</f>
        <v>1</v>
      </c>
      <c r="B141" s="17">
        <v>1</v>
      </c>
      <c r="C141" s="12">
        <v>0</v>
      </c>
      <c r="D141" s="18">
        <v>0</v>
      </c>
      <c r="E141" s="19">
        <f>D141+C141+B141</f>
        <v>1</v>
      </c>
    </row>
    <row r="142" spans="1:5" x14ac:dyDescent="0.2">
      <c r="A142" s="16">
        <f>B142+C142</f>
        <v>2</v>
      </c>
      <c r="B142" s="17">
        <v>1</v>
      </c>
      <c r="C142" s="12">
        <v>1</v>
      </c>
      <c r="D142" s="18">
        <v>0</v>
      </c>
      <c r="E142" s="19">
        <f>D142+C142+B142</f>
        <v>2</v>
      </c>
    </row>
    <row r="143" spans="1:5" x14ac:dyDescent="0.2">
      <c r="A143" s="16">
        <f>B143+C143</f>
        <v>2</v>
      </c>
      <c r="B143" s="17">
        <v>1</v>
      </c>
      <c r="C143" s="12">
        <v>1</v>
      </c>
      <c r="D143" s="18">
        <v>2</v>
      </c>
      <c r="E143" s="19">
        <f>D143+C143+B143</f>
        <v>4</v>
      </c>
    </row>
    <row r="144" spans="1:5" x14ac:dyDescent="0.2">
      <c r="A144" s="16">
        <f>B144+C144</f>
        <v>1</v>
      </c>
      <c r="B144" s="17">
        <v>1</v>
      </c>
      <c r="C144" s="12">
        <v>0</v>
      </c>
      <c r="D144" s="18">
        <v>2</v>
      </c>
      <c r="E144" s="19">
        <f>D144+C144+B144</f>
        <v>3</v>
      </c>
    </row>
    <row r="145" spans="1:5" x14ac:dyDescent="0.2">
      <c r="A145" s="16">
        <f>B145+C145</f>
        <v>1</v>
      </c>
      <c r="B145" s="17">
        <v>0</v>
      </c>
      <c r="C145" s="12">
        <v>1</v>
      </c>
      <c r="D145" s="18">
        <v>0</v>
      </c>
      <c r="E145" s="19">
        <f>D145+C145+B145</f>
        <v>1</v>
      </c>
    </row>
    <row r="146" spans="1:5" x14ac:dyDescent="0.2">
      <c r="A146" s="16">
        <f>B146+C146</f>
        <v>1</v>
      </c>
      <c r="B146" s="17">
        <v>1</v>
      </c>
      <c r="C146" s="12">
        <v>0</v>
      </c>
      <c r="D146" s="18">
        <v>0</v>
      </c>
      <c r="E146" s="19">
        <f>D146+C146+B146</f>
        <v>1</v>
      </c>
    </row>
    <row r="147" spans="1:5" x14ac:dyDescent="0.2">
      <c r="A147" s="16">
        <f>B147+C147</f>
        <v>1</v>
      </c>
      <c r="B147" s="20">
        <v>0</v>
      </c>
      <c r="C147" s="21">
        <v>1</v>
      </c>
      <c r="D147" s="22">
        <v>1</v>
      </c>
      <c r="E147" s="19">
        <f>D147+C147+B147</f>
        <v>2</v>
      </c>
    </row>
    <row r="148" spans="1:5" x14ac:dyDescent="0.2">
      <c r="A148" s="16">
        <f>B148+C148</f>
        <v>1</v>
      </c>
      <c r="B148" s="17">
        <v>1</v>
      </c>
      <c r="C148" s="12">
        <v>0</v>
      </c>
      <c r="D148" s="18">
        <v>1</v>
      </c>
      <c r="E148" s="19">
        <f>D148+C148+B148</f>
        <v>2</v>
      </c>
    </row>
    <row r="149" spans="1:5" x14ac:dyDescent="0.2">
      <c r="A149" s="16">
        <f>B149+C149</f>
        <v>0</v>
      </c>
      <c r="B149" s="20">
        <v>0</v>
      </c>
      <c r="C149" s="21">
        <v>0</v>
      </c>
      <c r="D149" s="22">
        <v>0</v>
      </c>
      <c r="E149" s="19">
        <f>D149+C149+B149</f>
        <v>0</v>
      </c>
    </row>
    <row r="150" spans="1:5" x14ac:dyDescent="0.2">
      <c r="A150" s="16">
        <f>B150+C150</f>
        <v>2</v>
      </c>
      <c r="B150" s="17">
        <v>2</v>
      </c>
      <c r="C150" s="12">
        <v>0</v>
      </c>
      <c r="D150" s="18">
        <v>0</v>
      </c>
      <c r="E150" s="19">
        <f>D150+C150+B150</f>
        <v>2</v>
      </c>
    </row>
    <row r="151" spans="1:5" x14ac:dyDescent="0.2">
      <c r="A151" s="16">
        <f>B151+C151</f>
        <v>1</v>
      </c>
      <c r="B151" s="17">
        <v>1</v>
      </c>
      <c r="C151" s="12">
        <v>0</v>
      </c>
      <c r="D151" s="18">
        <v>1</v>
      </c>
      <c r="E151" s="19">
        <f>D151+C151+B151</f>
        <v>2</v>
      </c>
    </row>
    <row r="152" spans="1:5" x14ac:dyDescent="0.2">
      <c r="A152" s="16">
        <f>B152+C152</f>
        <v>1</v>
      </c>
      <c r="B152" s="17">
        <v>1</v>
      </c>
      <c r="C152" s="12">
        <v>0</v>
      </c>
      <c r="D152" s="18">
        <v>0</v>
      </c>
      <c r="E152" s="19">
        <f>D152+C152+B152</f>
        <v>1</v>
      </c>
    </row>
    <row r="153" spans="1:5" x14ac:dyDescent="0.2">
      <c r="A153" s="16">
        <f>B153+C153</f>
        <v>1</v>
      </c>
      <c r="B153" s="17">
        <v>1</v>
      </c>
      <c r="C153" s="12">
        <v>0</v>
      </c>
      <c r="D153" s="18">
        <v>0</v>
      </c>
      <c r="E153" s="19">
        <f>D153+C153+B153</f>
        <v>1</v>
      </c>
    </row>
    <row r="154" spans="1:5" x14ac:dyDescent="0.2">
      <c r="A154" s="16">
        <f>B154+C154</f>
        <v>1</v>
      </c>
      <c r="B154" s="17">
        <v>0</v>
      </c>
      <c r="C154" s="12">
        <v>1</v>
      </c>
      <c r="D154" s="18">
        <v>0</v>
      </c>
      <c r="E154" s="19">
        <f>D154+C154+B154</f>
        <v>1</v>
      </c>
    </row>
    <row r="155" spans="1:5" x14ac:dyDescent="0.2">
      <c r="A155" s="16">
        <f>B155+C155</f>
        <v>1</v>
      </c>
      <c r="B155" s="20">
        <v>0</v>
      </c>
      <c r="C155" s="21">
        <v>1</v>
      </c>
      <c r="D155" s="22">
        <v>2</v>
      </c>
      <c r="E155" s="19">
        <f>D155+C155+B155</f>
        <v>3</v>
      </c>
    </row>
    <row r="156" spans="1:5" x14ac:dyDescent="0.2">
      <c r="A156" s="16">
        <f>B156+C156</f>
        <v>2</v>
      </c>
      <c r="B156" s="20">
        <v>2</v>
      </c>
      <c r="C156" s="21">
        <v>0</v>
      </c>
      <c r="D156" s="22">
        <v>0</v>
      </c>
      <c r="E156" s="19">
        <f>D156+C156+B156</f>
        <v>2</v>
      </c>
    </row>
    <row r="157" spans="1:5" x14ac:dyDescent="0.2">
      <c r="A157" s="16">
        <f>B157+C157</f>
        <v>0</v>
      </c>
      <c r="B157" s="20">
        <v>0</v>
      </c>
      <c r="C157" s="21">
        <v>0</v>
      </c>
      <c r="D157" s="22">
        <v>0</v>
      </c>
      <c r="E157" s="19">
        <f>D157+C157+B157</f>
        <v>0</v>
      </c>
    </row>
    <row r="158" spans="1:5" x14ac:dyDescent="0.2">
      <c r="A158" s="16">
        <f>B158+C158</f>
        <v>1</v>
      </c>
      <c r="B158" s="20">
        <v>0</v>
      </c>
      <c r="C158" s="21">
        <v>1</v>
      </c>
      <c r="D158" s="22">
        <v>1</v>
      </c>
      <c r="E158" s="19">
        <f>D158+C158+B158</f>
        <v>2</v>
      </c>
    </row>
    <row r="159" spans="1:5" x14ac:dyDescent="0.2">
      <c r="A159" s="16">
        <f>B159+C159</f>
        <v>0</v>
      </c>
      <c r="B159" s="17">
        <v>0</v>
      </c>
      <c r="C159" s="12">
        <v>0</v>
      </c>
      <c r="D159" s="18">
        <v>0</v>
      </c>
      <c r="E159" s="19">
        <f>D159+C159+B159</f>
        <v>0</v>
      </c>
    </row>
    <row r="160" spans="1:5" x14ac:dyDescent="0.2">
      <c r="A160" s="16">
        <f>B160+C160</f>
        <v>1</v>
      </c>
      <c r="B160" s="17">
        <v>0</v>
      </c>
      <c r="C160" s="12">
        <v>1</v>
      </c>
      <c r="D160" s="18">
        <v>1</v>
      </c>
      <c r="E160" s="19">
        <f>D160+C160+B160</f>
        <v>2</v>
      </c>
    </row>
    <row r="161" spans="1:5" x14ac:dyDescent="0.2">
      <c r="A161" s="16">
        <f>B161+C161</f>
        <v>1</v>
      </c>
      <c r="B161" s="17">
        <v>1</v>
      </c>
      <c r="C161" s="12">
        <v>0</v>
      </c>
      <c r="D161" s="18">
        <v>0</v>
      </c>
      <c r="E161" s="19">
        <f>D161+C161+B161</f>
        <v>1</v>
      </c>
    </row>
    <row r="162" spans="1:5" x14ac:dyDescent="0.2">
      <c r="A162" s="16">
        <f>B162+C162</f>
        <v>0</v>
      </c>
      <c r="B162" s="17">
        <v>0</v>
      </c>
      <c r="C162" s="12">
        <v>0</v>
      </c>
      <c r="D162" s="18">
        <v>0</v>
      </c>
      <c r="E162" s="19">
        <f>D162+C162+B162</f>
        <v>0</v>
      </c>
    </row>
    <row r="163" spans="1:5" x14ac:dyDescent="0.2">
      <c r="A163" s="16">
        <f>B163+C163</f>
        <v>0</v>
      </c>
      <c r="B163" s="17">
        <v>0</v>
      </c>
      <c r="C163" s="12">
        <v>0</v>
      </c>
      <c r="D163" s="18">
        <v>0</v>
      </c>
      <c r="E163" s="19">
        <f>D163+C163+B163</f>
        <v>0</v>
      </c>
    </row>
    <row r="164" spans="1:5" x14ac:dyDescent="0.2">
      <c r="A164" s="16">
        <f>B164+C164</f>
        <v>0</v>
      </c>
      <c r="B164" s="17">
        <v>0</v>
      </c>
      <c r="C164" s="12">
        <v>0</v>
      </c>
      <c r="D164" s="18">
        <v>0</v>
      </c>
      <c r="E164" s="19">
        <f>D164+C164+B164</f>
        <v>0</v>
      </c>
    </row>
    <row r="165" spans="1:5" x14ac:dyDescent="0.2">
      <c r="A165" s="16">
        <f>B165+C165</f>
        <v>0</v>
      </c>
      <c r="B165" s="17">
        <v>0</v>
      </c>
      <c r="C165" s="12">
        <v>0</v>
      </c>
      <c r="D165" s="18">
        <v>0</v>
      </c>
      <c r="E165" s="19">
        <f>D165+C165+B165</f>
        <v>0</v>
      </c>
    </row>
    <row r="166" spans="1:5" x14ac:dyDescent="0.2">
      <c r="A166" s="16">
        <f>B166+C166</f>
        <v>0</v>
      </c>
      <c r="B166" s="17">
        <v>0</v>
      </c>
      <c r="C166" s="12">
        <v>0</v>
      </c>
      <c r="D166" s="18">
        <v>0</v>
      </c>
      <c r="E166" s="19">
        <f>D166+C166+B166</f>
        <v>0</v>
      </c>
    </row>
    <row r="167" spans="1:5" x14ac:dyDescent="0.2">
      <c r="A167" s="16">
        <f>B167+C167</f>
        <v>0</v>
      </c>
      <c r="B167" s="17">
        <v>0</v>
      </c>
      <c r="C167" s="12">
        <v>0</v>
      </c>
      <c r="D167" s="18">
        <v>0</v>
      </c>
      <c r="E167" s="19">
        <f>D167+C167+B167</f>
        <v>0</v>
      </c>
    </row>
    <row r="168" spans="1:5" x14ac:dyDescent="0.2">
      <c r="A168" s="16">
        <f>B168+C168</f>
        <v>0</v>
      </c>
      <c r="B168" s="20">
        <v>0</v>
      </c>
      <c r="C168" s="21">
        <v>0</v>
      </c>
      <c r="D168" s="22">
        <v>0</v>
      </c>
      <c r="E168" s="19">
        <f>D168+C168+B168</f>
        <v>0</v>
      </c>
    </row>
    <row r="169" spans="1:5" x14ac:dyDescent="0.2">
      <c r="A169" s="16">
        <f>B169+C169</f>
        <v>0</v>
      </c>
      <c r="B169" s="17">
        <v>0</v>
      </c>
      <c r="C169" s="12">
        <v>0</v>
      </c>
      <c r="D169" s="18">
        <v>0</v>
      </c>
      <c r="E169" s="19">
        <f>D169+C169+B169</f>
        <v>0</v>
      </c>
    </row>
    <row r="170" spans="1:5" x14ac:dyDescent="0.2">
      <c r="A170" s="16">
        <f>B170+C170</f>
        <v>2</v>
      </c>
      <c r="B170" s="17">
        <v>0</v>
      </c>
      <c r="C170" s="12">
        <v>2</v>
      </c>
      <c r="D170" s="18">
        <v>0</v>
      </c>
      <c r="E170" s="19">
        <f>D170+C170+B170</f>
        <v>2</v>
      </c>
    </row>
    <row r="171" spans="1:5" x14ac:dyDescent="0.2">
      <c r="A171" s="16">
        <f>B171+C171</f>
        <v>0</v>
      </c>
      <c r="B171" s="17">
        <v>0</v>
      </c>
      <c r="C171" s="12">
        <v>0</v>
      </c>
      <c r="D171" s="18">
        <v>0</v>
      </c>
      <c r="E171" s="19">
        <f>D171+C171+B171</f>
        <v>0</v>
      </c>
    </row>
    <row r="172" spans="1:5" x14ac:dyDescent="0.2">
      <c r="A172" s="16">
        <f>B172+C172</f>
        <v>1</v>
      </c>
      <c r="B172" s="17">
        <v>0</v>
      </c>
      <c r="C172" s="12">
        <v>1</v>
      </c>
      <c r="D172" s="18">
        <v>1</v>
      </c>
      <c r="E172" s="19">
        <f>D172+C172+B172</f>
        <v>2</v>
      </c>
    </row>
    <row r="173" spans="1:5" x14ac:dyDescent="0.2">
      <c r="A173" s="16">
        <f>B173+C173</f>
        <v>0</v>
      </c>
      <c r="B173" s="17">
        <v>0</v>
      </c>
      <c r="C173" s="12">
        <v>0</v>
      </c>
      <c r="D173" s="18">
        <v>0</v>
      </c>
      <c r="E173" s="19">
        <f>D173+C173+B173</f>
        <v>0</v>
      </c>
    </row>
    <row r="174" spans="1:5" x14ac:dyDescent="0.2">
      <c r="A174" s="16">
        <f>B174+C174</f>
        <v>1</v>
      </c>
      <c r="B174" s="17">
        <v>0</v>
      </c>
      <c r="C174" s="12">
        <v>1</v>
      </c>
      <c r="D174" s="18">
        <v>1</v>
      </c>
      <c r="E174" s="19">
        <f>D174+C174+B174</f>
        <v>2</v>
      </c>
    </row>
    <row r="175" spans="1:5" x14ac:dyDescent="0.2">
      <c r="A175" s="16">
        <f>B175+C175</f>
        <v>0</v>
      </c>
      <c r="B175" s="17">
        <v>0</v>
      </c>
      <c r="C175" s="12">
        <v>0</v>
      </c>
      <c r="D175" s="18">
        <v>0</v>
      </c>
      <c r="E175" s="19">
        <f>D175+C175+B175</f>
        <v>0</v>
      </c>
    </row>
    <row r="176" spans="1:5" x14ac:dyDescent="0.2">
      <c r="A176" s="16">
        <f>B176+C176</f>
        <v>0</v>
      </c>
      <c r="B176" s="17">
        <v>0</v>
      </c>
      <c r="C176" s="12">
        <v>0</v>
      </c>
      <c r="D176" s="18">
        <v>0</v>
      </c>
      <c r="E176" s="19">
        <f>D176+C176+B176</f>
        <v>0</v>
      </c>
    </row>
    <row r="177" spans="1:5" x14ac:dyDescent="0.2">
      <c r="A177" s="16">
        <f>B177+C177</f>
        <v>1</v>
      </c>
      <c r="B177" s="17">
        <v>1</v>
      </c>
      <c r="C177" s="12">
        <v>0</v>
      </c>
      <c r="D177" s="18">
        <v>2</v>
      </c>
      <c r="E177" s="19">
        <f>D177+C177+B177</f>
        <v>3</v>
      </c>
    </row>
    <row r="178" spans="1:5" x14ac:dyDescent="0.2">
      <c r="A178" s="16">
        <f>B178+C178</f>
        <v>0</v>
      </c>
      <c r="B178" s="17">
        <v>0</v>
      </c>
      <c r="C178" s="12">
        <v>0</v>
      </c>
      <c r="D178" s="18">
        <v>0</v>
      </c>
      <c r="E178" s="19">
        <f>D178+C178+B178</f>
        <v>0</v>
      </c>
    </row>
    <row r="179" spans="1:5" x14ac:dyDescent="0.2">
      <c r="A179" s="16">
        <f>B179+C179</f>
        <v>1</v>
      </c>
      <c r="B179" s="17">
        <v>0</v>
      </c>
      <c r="C179" s="12">
        <v>1</v>
      </c>
      <c r="D179" s="18">
        <v>1</v>
      </c>
      <c r="E179" s="19">
        <f>D179+C179+B179</f>
        <v>2</v>
      </c>
    </row>
    <row r="180" spans="1:5" x14ac:dyDescent="0.2">
      <c r="A180" s="16">
        <f>B180+C180</f>
        <v>1</v>
      </c>
      <c r="B180" s="17">
        <v>0</v>
      </c>
      <c r="C180" s="12">
        <v>1</v>
      </c>
      <c r="D180" s="18">
        <v>0</v>
      </c>
      <c r="E180" s="19">
        <f>D180+C180+B180</f>
        <v>1</v>
      </c>
    </row>
    <row r="181" spans="1:5" x14ac:dyDescent="0.2">
      <c r="A181" s="16">
        <f>B181+C181</f>
        <v>1</v>
      </c>
      <c r="B181" s="20">
        <v>1</v>
      </c>
      <c r="C181" s="21">
        <v>0</v>
      </c>
      <c r="D181" s="22">
        <v>3</v>
      </c>
      <c r="E181" s="19">
        <f>D181+C181+B181</f>
        <v>4</v>
      </c>
    </row>
    <row r="182" spans="1:5" x14ac:dyDescent="0.2">
      <c r="A182" s="16">
        <f>B182+C182</f>
        <v>1</v>
      </c>
      <c r="B182" s="20">
        <v>0</v>
      </c>
      <c r="C182" s="21">
        <v>1</v>
      </c>
      <c r="D182" s="22">
        <v>1</v>
      </c>
      <c r="E182" s="19">
        <f>D182+C182+B182</f>
        <v>2</v>
      </c>
    </row>
    <row r="183" spans="1:5" x14ac:dyDescent="0.2">
      <c r="A183" s="16">
        <f>B183+C183</f>
        <v>1</v>
      </c>
      <c r="B183" s="20">
        <v>1</v>
      </c>
      <c r="C183" s="21">
        <v>0</v>
      </c>
      <c r="D183" s="22">
        <v>0</v>
      </c>
      <c r="E183" s="19">
        <f>D183+C183+B183</f>
        <v>1</v>
      </c>
    </row>
    <row r="184" spans="1:5" x14ac:dyDescent="0.2">
      <c r="A184" s="16">
        <f>B184+C184</f>
        <v>2</v>
      </c>
      <c r="B184" s="20">
        <v>0</v>
      </c>
      <c r="C184" s="21">
        <v>2</v>
      </c>
      <c r="D184" s="22">
        <v>1</v>
      </c>
      <c r="E184" s="19">
        <f>D184+C184+B184</f>
        <v>3</v>
      </c>
    </row>
    <row r="185" spans="1:5" x14ac:dyDescent="0.2">
      <c r="A185" s="16">
        <f>B185+C185</f>
        <v>1</v>
      </c>
      <c r="B185" s="17">
        <v>0</v>
      </c>
      <c r="C185" s="12">
        <v>1</v>
      </c>
      <c r="D185" s="18">
        <v>2</v>
      </c>
      <c r="E185" s="19">
        <f>D185+C185+B185</f>
        <v>3</v>
      </c>
    </row>
    <row r="186" spans="1:5" x14ac:dyDescent="0.2">
      <c r="A186" s="16">
        <f>B186+C186</f>
        <v>0</v>
      </c>
      <c r="B186" s="20">
        <v>0</v>
      </c>
      <c r="C186" s="21">
        <v>0</v>
      </c>
      <c r="D186" s="22">
        <v>0</v>
      </c>
      <c r="E186" s="19">
        <f>D186+C186+B186</f>
        <v>0</v>
      </c>
    </row>
    <row r="187" spans="1:5" x14ac:dyDescent="0.2">
      <c r="A187" s="16">
        <f>B187+C187</f>
        <v>1</v>
      </c>
      <c r="B187" s="17">
        <v>0</v>
      </c>
      <c r="C187" s="12">
        <v>1</v>
      </c>
      <c r="D187" s="18">
        <v>1</v>
      </c>
      <c r="E187" s="19">
        <f>D187+C187+B187</f>
        <v>2</v>
      </c>
    </row>
    <row r="188" spans="1:5" x14ac:dyDescent="0.2">
      <c r="A188" s="16">
        <f>B188+C188</f>
        <v>2</v>
      </c>
      <c r="B188" s="17">
        <v>2</v>
      </c>
      <c r="C188" s="12">
        <v>0</v>
      </c>
      <c r="D188" s="18">
        <v>0</v>
      </c>
      <c r="E188" s="19">
        <f>D188+C188+B188</f>
        <v>2</v>
      </c>
    </row>
    <row r="189" spans="1:5" x14ac:dyDescent="0.2">
      <c r="A189" s="16">
        <f>B189+C189</f>
        <v>2</v>
      </c>
      <c r="B189" s="17">
        <v>0</v>
      </c>
      <c r="C189" s="12">
        <v>2</v>
      </c>
      <c r="D189" s="18">
        <v>0</v>
      </c>
      <c r="E189" s="19">
        <f>D189+C189+B189</f>
        <v>2</v>
      </c>
    </row>
    <row r="190" spans="1:5" x14ac:dyDescent="0.2">
      <c r="A190" s="16">
        <f>B190+C190</f>
        <v>2</v>
      </c>
      <c r="B190" s="17">
        <v>2</v>
      </c>
      <c r="C190" s="12">
        <v>0</v>
      </c>
      <c r="D190" s="18">
        <v>0</v>
      </c>
      <c r="E190" s="19">
        <f>D190+C190+B190</f>
        <v>2</v>
      </c>
    </row>
    <row r="191" spans="1:5" x14ac:dyDescent="0.2">
      <c r="A191" s="16">
        <f>B191+C191</f>
        <v>0</v>
      </c>
      <c r="B191" s="17">
        <v>0</v>
      </c>
      <c r="C191" s="12">
        <v>0</v>
      </c>
      <c r="D191" s="18">
        <v>0</v>
      </c>
      <c r="E191" s="19">
        <f>D191+C191+B191</f>
        <v>0</v>
      </c>
    </row>
    <row r="192" spans="1:5" x14ac:dyDescent="0.2">
      <c r="A192" s="16">
        <f>B192+C192</f>
        <v>1</v>
      </c>
      <c r="B192" s="17">
        <v>0</v>
      </c>
      <c r="C192" s="12">
        <v>1</v>
      </c>
      <c r="D192" s="18">
        <v>2</v>
      </c>
      <c r="E192" s="19">
        <f>D192+C192+B192</f>
        <v>3</v>
      </c>
    </row>
    <row r="193" spans="1:5" x14ac:dyDescent="0.2">
      <c r="A193" s="16">
        <f>B193+C193</f>
        <v>1</v>
      </c>
      <c r="B193" s="20">
        <v>0</v>
      </c>
      <c r="C193" s="21">
        <v>1</v>
      </c>
      <c r="D193" s="22">
        <v>1</v>
      </c>
      <c r="E193" s="19">
        <f>D193+C193+B193</f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Ovarian Cancer</vt:lpstr>
      <vt:lpstr>Ovarian Cysts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Zhilong Li</dc:creator>
  <cp:lastModifiedBy>Zhilong Li</cp:lastModifiedBy>
  <dcterms:created xsi:type="dcterms:W3CDTF">2025-04-21T08:36:36Z</dcterms:created>
  <dcterms:modified xsi:type="dcterms:W3CDTF">2025-04-21T09:36:42Z</dcterms:modified>
</cp:coreProperties>
</file>